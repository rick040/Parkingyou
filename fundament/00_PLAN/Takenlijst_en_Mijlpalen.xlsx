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zicht" sheetId="1" state="visible" r:id="rId1"/>
    <sheet name="Takenlijst" sheetId="2" state="visible" r:id="rId2"/>
    <sheet name="Mijlpalen" sheetId="3" state="visible" r:id="rId3"/>
  </sheets>
  <definedNames>
    <definedName name="_xlnm._FilterDatabase" localSheetId="1" hidden="1">'Takenlijst'!$A$1:$K$176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1F3864"/>
      <sz val="16"/>
    </font>
    <font>
      <i val="1"/>
      <color rgb="00595959"/>
    </font>
    <font>
      <b val="1"/>
      <color rgb="001F3864"/>
      <sz val="13"/>
    </font>
    <font>
      <b val="1"/>
      <color rgb="00C00000"/>
      <sz val="13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D96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0" fillId="3" borderId="1" pivotButton="0" quotePrefix="0" xfId="0"/>
    <xf numFmtId="9" fontId="0" fillId="3" borderId="1" pivotButton="0" quotePrefix="0" xfId="0"/>
    <xf numFmtId="2" fontId="0" fillId="3" borderId="1" pivotButton="0" quotePrefix="0" xfId="0"/>
    <xf numFmtId="0" fontId="0" fillId="5" borderId="1" pivotButton="0" quotePrefix="0" xfId="0"/>
    <xf numFmtId="9" fontId="0" fillId="5" borderId="1" pivotButton="0" quotePrefix="0" xfId="0"/>
    <xf numFmtId="2" fontId="0" fillId="5" borderId="1" pivotButton="0" quotePrefix="0" xfId="0"/>
    <xf numFmtId="0" fontId="0" fillId="6" borderId="1" pivotButton="0" quotePrefix="0" xfId="0"/>
    <xf numFmtId="9" fontId="0" fillId="6" borderId="1" pivotButton="0" quotePrefix="0" xfId="0"/>
    <xf numFmtId="2" fontId="0" fillId="6" borderId="1" pivotButton="0" quotePrefix="0" xfId="0"/>
    <xf numFmtId="0" fontId="0" fillId="7" borderId="1" pivotButton="0" quotePrefix="0" xfId="0"/>
    <xf numFmtId="9" fontId="0" fillId="7" borderId="1" pivotButton="0" quotePrefix="0" xfId="0"/>
    <xf numFmtId="2" fontId="0" fillId="7" borderId="1" pivotButton="0" quotePrefix="0" xfId="0"/>
    <xf numFmtId="0" fontId="0" fillId="8" borderId="1" pivotButton="0" quotePrefix="0" xfId="0"/>
    <xf numFmtId="9" fontId="0" fillId="8" borderId="1" pivotButton="0" quotePrefix="0" xfId="0"/>
    <xf numFmtId="2" fontId="0" fillId="8" borderId="1" pivotButton="0" quotePrefix="0" xfId="0"/>
    <xf numFmtId="0" fontId="0" fillId="9" borderId="1" pivotButton="0" quotePrefix="0" xfId="0"/>
    <xf numFmtId="9" fontId="0" fillId="9" borderId="1" pivotButton="0" quotePrefix="0" xfId="0"/>
    <xf numFmtId="2" fontId="0" fillId="9" borderId="1" pivotButton="0" quotePrefix="0" xfId="0"/>
    <xf numFmtId="0" fontId="2" fillId="0" borderId="1" pivotButton="0" quotePrefix="0" xfId="0"/>
    <xf numFmtId="0" fontId="0" fillId="0" borderId="1" pivotButton="0" quotePrefix="0" xfId="0"/>
    <xf numFmtId="9" fontId="2" fillId="0" borderId="1" pivotButton="0" quotePrefix="0" xfId="0"/>
    <xf numFmtId="2" fontId="2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/>
    </xf>
    <xf numFmtId="164" fontId="0" fillId="5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/>
    </xf>
    <xf numFmtId="164" fontId="0" fillId="6" borderId="1" applyAlignment="1" pivotButton="0" quotePrefix="0" xfId="0">
      <alignment vertical="top"/>
    </xf>
    <xf numFmtId="0" fontId="0" fillId="7" borderId="1" applyAlignment="1" pivotButton="0" quotePrefix="0" xfId="0">
      <alignment vertical="top"/>
    </xf>
    <xf numFmtId="0" fontId="0" fillId="7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/>
    </xf>
    <xf numFmtId="164" fontId="0" fillId="7" borderId="1" applyAlignment="1" pivotButton="0" quotePrefix="0" xfId="0">
      <alignment vertical="top"/>
    </xf>
    <xf numFmtId="0" fontId="0" fillId="8" borderId="1" applyAlignment="1" pivotButton="0" quotePrefix="0" xfId="0">
      <alignment vertical="top"/>
    </xf>
    <xf numFmtId="0" fontId="0" fillId="8" borderId="1" applyAlignment="1" pivotButton="0" quotePrefix="0" xfId="0">
      <alignment vertical="top" wrapText="1"/>
    </xf>
    <xf numFmtId="2" fontId="0" fillId="8" borderId="1" applyAlignment="1" pivotButton="0" quotePrefix="0" xfId="0">
      <alignment vertical="top"/>
    </xf>
    <xf numFmtId="164" fontId="0" fillId="8" borderId="1" applyAlignment="1" pivotButton="0" quotePrefix="0" xfId="0">
      <alignment vertical="top"/>
    </xf>
    <xf numFmtId="0" fontId="0" fillId="9" borderId="1" applyAlignment="1" pivotButton="0" quotePrefix="0" xfId="0">
      <alignment vertical="top"/>
    </xf>
    <xf numFmtId="0" fontId="0" fillId="9" borderId="1" applyAlignment="1" pivotButton="0" quotePrefix="0" xfId="0">
      <alignment vertical="top" wrapText="1"/>
    </xf>
    <xf numFmtId="2" fontId="0" fillId="9" borderId="1" applyAlignment="1" pivotButton="0" quotePrefix="0" xfId="0">
      <alignment vertical="top"/>
    </xf>
    <xf numFmtId="164" fontId="0" fillId="9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9" fontId="0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9" fontId="0" fillId="6" borderId="1" applyAlignment="1" pivotButton="0" quotePrefix="0" xfId="0">
      <alignment vertical="top"/>
    </xf>
    <xf numFmtId="0" fontId="2" fillId="7" borderId="1" applyAlignment="1" pivotButton="0" quotePrefix="0" xfId="0">
      <alignment vertical="top"/>
    </xf>
    <xf numFmtId="9" fontId="0" fillId="7" borderId="1" applyAlignment="1" pivotButton="0" quotePrefix="0" xfId="0">
      <alignment vertical="top"/>
    </xf>
    <xf numFmtId="0" fontId="2" fillId="8" borderId="1" applyAlignment="1" pivotButton="0" quotePrefix="0" xfId="0">
      <alignment vertical="top"/>
    </xf>
    <xf numFmtId="9" fontId="0" fillId="8" borderId="1" applyAlignment="1" pivotButton="0" quotePrefix="0" xfId="0">
      <alignment vertical="top"/>
    </xf>
    <xf numFmtId="0" fontId="2" fillId="9" borderId="1" applyAlignment="1" pivotButton="0" quotePrefix="0" xfId="0">
      <alignment vertical="top"/>
    </xf>
    <xf numFmtId="9" fontId="0" fillId="9" borderId="1" applyAlignment="1" pivotButton="0" quotePrefix="0" xfId="0">
      <alignment vertical="top"/>
    </xf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color rgb="009C570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8" customWidth="1" min="3" max="3"/>
    <col width="9" customWidth="1" min="4" max="4"/>
    <col width="11" customWidth="1" min="5" max="5"/>
    <col width="11" customWidth="1" min="6" max="6"/>
    <col width="13" customWidth="1" min="7" max="7"/>
    <col width="13" customWidth="1" min="8" max="8"/>
    <col width="12" customWidth="1" min="9" max="9"/>
  </cols>
  <sheetData>
    <row r="1">
      <c r="A1" s="1" t="inlineStr">
        <is>
          <t>ParkingYou Fundament — voortgang</t>
        </is>
      </c>
    </row>
    <row r="2">
      <c r="A2" s="2" t="inlineStr">
        <is>
          <t>Gegenereerd uit Projectplan_v1.0.md. Werk de kolom Status bij op het blad Takenlijst.</t>
        </is>
      </c>
    </row>
    <row r="4">
      <c r="A4" s="3" t="inlineStr">
        <is>
          <t>Fase</t>
        </is>
      </c>
      <c r="B4" s="3" t="inlineStr">
        <is>
          <t>Periode</t>
        </is>
      </c>
      <c r="C4" s="3" t="inlineStr">
        <is>
          <t>Taken</t>
        </is>
      </c>
      <c r="D4" s="3" t="inlineStr">
        <is>
          <t>Gereed</t>
        </is>
      </c>
      <c r="E4" s="3" t="inlineStr">
        <is>
          <t>Voortgang</t>
        </is>
      </c>
      <c r="F4" s="3" t="inlineStr">
        <is>
          <t>Uren R+C</t>
        </is>
      </c>
      <c r="G4" s="3" t="inlineStr">
        <is>
          <t>Uren domein</t>
        </is>
      </c>
      <c r="H4" s="3" t="inlineStr">
        <is>
          <t>Uren directie</t>
        </is>
      </c>
      <c r="I4" s="3" t="inlineStr">
        <is>
          <t>Uren totaal</t>
        </is>
      </c>
    </row>
    <row r="5">
      <c r="A5" s="4" t="inlineStr">
        <is>
          <t>0 · Fundament</t>
        </is>
      </c>
      <c r="B5" s="4" t="inlineStr">
        <is>
          <t>week 1–4</t>
        </is>
      </c>
      <c r="C5" s="4" t="n">
        <v>52</v>
      </c>
      <c r="D5" s="4">
        <f>COUNTIF(Takenlijst!I2:I53,"Gereed")</f>
        <v/>
      </c>
      <c r="E5" s="5">
        <f>IF(C5=0,0,D5/C5)</f>
        <v/>
      </c>
      <c r="F5" s="6" t="n">
        <v>36</v>
      </c>
      <c r="G5" s="6" t="n">
        <v>53</v>
      </c>
      <c r="H5" s="6" t="n">
        <v>20</v>
      </c>
      <c r="I5" s="6">
        <f>SUM(F5:H5)</f>
        <v/>
      </c>
    </row>
    <row r="6">
      <c r="A6" s="7" t="inlineStr">
        <is>
          <t>1 · Abonnementen</t>
        </is>
      </c>
      <c r="B6" s="7" t="inlineStr">
        <is>
          <t>week 4–8</t>
        </is>
      </c>
      <c r="C6" s="7" t="n">
        <v>22</v>
      </c>
      <c r="D6" s="7">
        <f>COUNTIF(Takenlijst!I54:I75,"Gereed")</f>
        <v/>
      </c>
      <c r="E6" s="8">
        <f>IF(C6=0,0,D6/C6)</f>
        <v/>
      </c>
      <c r="F6" s="9" t="n">
        <v>21</v>
      </c>
      <c r="G6" s="9" t="n">
        <v>30</v>
      </c>
      <c r="H6" s="9" t="n">
        <v>2</v>
      </c>
      <c r="I6" s="9">
        <f>SUM(F6:H6)</f>
        <v/>
      </c>
    </row>
    <row r="7">
      <c r="A7" s="10" t="inlineStr">
        <is>
          <t>2 · Eerste koppeling</t>
        </is>
      </c>
      <c r="B7" s="10" t="inlineStr">
        <is>
          <t>week 6–14</t>
        </is>
      </c>
      <c r="C7" s="10" t="n">
        <v>25</v>
      </c>
      <c r="D7" s="10">
        <f>COUNTIF(Takenlijst!I76:I100,"Gereed")</f>
        <v/>
      </c>
      <c r="E7" s="11">
        <f>IF(C7=0,0,D7/C7)</f>
        <v/>
      </c>
      <c r="F7" s="12" t="n">
        <v>48.5</v>
      </c>
      <c r="G7" s="12" t="n">
        <v>22</v>
      </c>
      <c r="H7" s="12" t="n">
        <v>0</v>
      </c>
      <c r="I7" s="12">
        <f>SUM(F7:H7)</f>
        <v/>
      </c>
    </row>
    <row r="8">
      <c r="A8" s="13" t="inlineStr">
        <is>
          <t>3 · Uitrollen</t>
        </is>
      </c>
      <c r="B8" s="13" t="inlineStr">
        <is>
          <t>maand 4–7</t>
        </is>
      </c>
      <c r="C8" s="13" t="n">
        <v>28</v>
      </c>
      <c r="D8" s="13">
        <f>COUNTIF(Takenlijst!I101:I128,"Gereed")</f>
        <v/>
      </c>
      <c r="E8" s="14">
        <f>IF(C8=0,0,D8/C8)</f>
        <v/>
      </c>
      <c r="F8" s="15" t="n">
        <v>116</v>
      </c>
      <c r="G8" s="15" t="n">
        <v>37</v>
      </c>
      <c r="H8" s="15" t="n">
        <v>3</v>
      </c>
      <c r="I8" s="15">
        <f>SUM(F8:H8)</f>
        <v/>
      </c>
    </row>
    <row r="9">
      <c r="A9" s="16" t="inlineStr">
        <is>
          <t>4 · Klantenservice</t>
        </is>
      </c>
      <c r="B9" s="16" t="inlineStr">
        <is>
          <t>maand 6–9</t>
        </is>
      </c>
      <c r="C9" s="16" t="n">
        <v>22</v>
      </c>
      <c r="D9" s="16">
        <f>COUNTIF(Takenlijst!I129:I150,"Gereed")</f>
        <v/>
      </c>
      <c r="E9" s="17">
        <f>IF(C9=0,0,D9/C9)</f>
        <v/>
      </c>
      <c r="F9" s="18" t="n">
        <v>34</v>
      </c>
      <c r="G9" s="18" t="n">
        <v>87</v>
      </c>
      <c r="H9" s="18" t="n">
        <v>2</v>
      </c>
      <c r="I9" s="18">
        <f>SUM(F9:H9)</f>
        <v/>
      </c>
    </row>
    <row r="10">
      <c r="A10" s="19" t="inlineStr">
        <is>
          <t>5 · Automatiseren</t>
        </is>
      </c>
      <c r="B10" s="19" t="inlineStr">
        <is>
          <t>maand 9–12</t>
        </is>
      </c>
      <c r="C10" s="19" t="n">
        <v>26</v>
      </c>
      <c r="D10" s="19">
        <f>COUNTIF(Takenlijst!I151:I176,"Gereed")</f>
        <v/>
      </c>
      <c r="E10" s="20">
        <f>IF(C10=0,0,D10/C10)</f>
        <v/>
      </c>
      <c r="F10" s="21" t="n">
        <v>112</v>
      </c>
      <c r="G10" s="21" t="n">
        <v>45</v>
      </c>
      <c r="H10" s="21" t="n">
        <v>1</v>
      </c>
      <c r="I10" s="21">
        <f>SUM(F10:H10)</f>
        <v/>
      </c>
    </row>
    <row r="11">
      <c r="A11" s="22" t="inlineStr">
        <is>
          <t>Totaal</t>
        </is>
      </c>
      <c r="B11" s="23" t="n"/>
      <c r="C11" s="22">
        <f>SUM(C5:C10)</f>
        <v/>
      </c>
      <c r="D11" s="22">
        <f>SUM(D5:D10)</f>
        <v/>
      </c>
      <c r="E11" s="24">
        <f>IF(C11=0,0,D11/C11)</f>
        <v/>
      </c>
      <c r="F11" s="25">
        <f>SUM(F5:F10)</f>
        <v/>
      </c>
      <c r="G11" s="25">
        <f>SUM(G5:G10)</f>
        <v/>
      </c>
      <c r="H11" s="25">
        <f>SUM(H5:H10)</f>
        <v/>
      </c>
      <c r="I11" s="25">
        <f>SUM(I5:I10)</f>
        <v/>
      </c>
    </row>
    <row r="13">
      <c r="A13" s="26" t="inlineStr">
        <is>
          <t>Mijlpalen</t>
        </is>
      </c>
    </row>
    <row r="14">
      <c r="A14" t="inlineStr">
        <is>
          <t>Gehaald</t>
        </is>
      </c>
      <c r="C14">
        <f>COUNTIF(Mijlpalen!H2:H13,"Gehaald") &amp; " van 12"</f>
        <v/>
      </c>
    </row>
    <row r="16">
      <c r="A16" s="27" t="inlineStr">
        <is>
          <t>Let op</t>
        </is>
      </c>
    </row>
    <row r="17">
      <c r="A17" t="inlineStr">
        <is>
          <t>De leveranciersaanvragen (taken 0.3 t/m 0.6) bepalen de doorlooptijd van het hele project.</t>
        </is>
      </c>
    </row>
    <row r="18">
      <c r="A18" t="inlineStr">
        <is>
          <t>Zet ze in week 1 op "Wacht op derden" en bewaak ze — niets in fase 2 en 3 kan zonder.</t>
        </is>
      </c>
    </row>
    <row r="19">
      <c r="A19" t="inlineStr">
        <is>
          <t>Een mijlpaal is pas gehaald als het testscript in Mijlpaal_Testrapporten.md klopt,</t>
        </is>
      </c>
    </row>
    <row r="20">
      <c r="A20" t="inlineStr">
        <is>
          <t>niet als de taken zijn afgevinkt. De aftekenaar is nooit de bouwer.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0" customWidth="1" min="3" max="3"/>
    <col width="74" customWidth="1" min="4" max="4"/>
    <col width="11" customWidth="1" min="5" max="5"/>
    <col width="8" customWidth="1" min="6" max="6"/>
    <col width="14" customWidth="1" min="7" max="7"/>
    <col width="10" customWidth="1" min="8" max="8"/>
    <col width="15" customWidth="1" min="9" max="9"/>
    <col width="12" customWidth="1" min="10" max="10"/>
    <col width="34" customWidth="1" min="11" max="11"/>
  </cols>
  <sheetData>
    <row r="1" ht="22" customHeight="1">
      <c r="A1" s="28" t="inlineStr">
        <is>
          <t>Nr</t>
        </is>
      </c>
      <c r="B1" s="28" t="inlineStr">
        <is>
          <t>Fase</t>
        </is>
      </c>
      <c r="C1" s="28" t="inlineStr">
        <is>
          <t>Blok</t>
        </is>
      </c>
      <c r="D1" s="28" t="inlineStr">
        <is>
          <t>Taak</t>
        </is>
      </c>
      <c r="E1" s="28" t="inlineStr">
        <is>
          <t>Eigenaar</t>
        </is>
      </c>
      <c r="F1" s="28" t="inlineStr">
        <is>
          <t>Uren</t>
        </is>
      </c>
      <c r="G1" s="28" t="inlineStr">
        <is>
          <t>Hangt af van</t>
        </is>
      </c>
      <c r="H1" s="28" t="inlineStr">
        <is>
          <t>Mijlpaal</t>
        </is>
      </c>
      <c r="I1" s="28" t="inlineStr">
        <is>
          <t>Status</t>
        </is>
      </c>
      <c r="J1" s="28" t="inlineStr">
        <is>
          <t>Gereed op</t>
        </is>
      </c>
      <c r="K1" s="28" t="inlineStr">
        <is>
          <t>Opmerking</t>
        </is>
      </c>
    </row>
    <row r="2">
      <c r="A2" s="29" t="inlineStr">
        <is>
          <t>0.1</t>
        </is>
      </c>
      <c r="B2" s="29" t="inlineStr">
        <is>
          <t>0 · Fundament</t>
        </is>
      </c>
      <c r="C2" s="29" t="inlineStr">
        <is>
          <t>0A Het kritieke pad — deze week de deur uit</t>
        </is>
      </c>
      <c r="D2" s="30" t="inlineStr">
        <is>
          <t>Contactpersonen achterhalen bij SKIDATA, IP Parking, Scheidt &amp; Bachmann, Aeroparker</t>
        </is>
      </c>
      <c r="E2" s="29" t="inlineStr">
        <is>
          <t>R</t>
        </is>
      </c>
      <c r="F2" s="31" t="n">
        <v>2</v>
      </c>
      <c r="G2" s="29" t="inlineStr"/>
      <c r="H2" s="29" t="inlineStr"/>
      <c r="I2" s="29" t="inlineStr">
        <is>
          <t>Niet gestart</t>
        </is>
      </c>
      <c r="J2" s="32" t="n"/>
      <c r="K2" s="29" t="n"/>
    </row>
    <row r="3">
      <c r="A3" s="29" t="inlineStr">
        <is>
          <t>0.2</t>
        </is>
      </c>
      <c r="B3" s="29" t="inlineStr">
        <is>
          <t>0 · Fundament</t>
        </is>
      </c>
      <c r="C3" s="29" t="inlineStr">
        <is>
          <t>0A Het kritieke pad — deze week de deur uit</t>
        </is>
      </c>
      <c r="D3" s="30" t="inlineStr">
        <is>
          <t>Aanvraagbrief opstellen per leverancier (sjabloon in 02_WERKMATERIAAL)</t>
        </is>
      </c>
      <c r="E3" s="29" t="inlineStr">
        <is>
          <t>C</t>
        </is>
      </c>
      <c r="F3" s="31" t="n">
        <v>1</v>
      </c>
      <c r="G3" s="29" t="inlineStr">
        <is>
          <t>0.1</t>
        </is>
      </c>
      <c r="H3" s="29" t="inlineStr"/>
      <c r="I3" s="29" t="inlineStr">
        <is>
          <t>Niet gestart</t>
        </is>
      </c>
      <c r="J3" s="32" t="n"/>
      <c r="K3" s="29" t="n"/>
    </row>
    <row r="4">
      <c r="A4" s="29" t="inlineStr">
        <is>
          <t>0.3</t>
        </is>
      </c>
      <c r="B4" s="29" t="inlineStr">
        <is>
          <t>0 · Fundament</t>
        </is>
      </c>
      <c r="C4" s="29" t="inlineStr">
        <is>
          <t>0A Het kritieke pad — deze week de deur uit</t>
        </is>
      </c>
      <c r="D4" s="30" t="inlineStr">
        <is>
          <t>Aanvraag versturen naar SKIDATA — API/export, formaten, kosten, voorwaarden</t>
        </is>
      </c>
      <c r="E4" s="29" t="inlineStr">
        <is>
          <t>R</t>
        </is>
      </c>
      <c r="F4" s="31" t="n">
        <v>0.5</v>
      </c>
      <c r="G4" s="29" t="inlineStr">
        <is>
          <t>0.2</t>
        </is>
      </c>
      <c r="H4" s="29" t="inlineStr"/>
      <c r="I4" s="29" t="inlineStr">
        <is>
          <t>Niet gestart</t>
        </is>
      </c>
      <c r="J4" s="32" t="n"/>
      <c r="K4" s="29" t="n"/>
    </row>
    <row r="5">
      <c r="A5" s="29" t="inlineStr">
        <is>
          <t>0.4</t>
        </is>
      </c>
      <c r="B5" s="29" t="inlineStr">
        <is>
          <t>0 · Fundament</t>
        </is>
      </c>
      <c r="C5" s="29" t="inlineStr">
        <is>
          <t>0A Het kritieke pad — deze week de deur uit</t>
        </is>
      </c>
      <c r="D5" s="30" t="inlineStr">
        <is>
          <t>Aanvraag versturen naar IP Parking</t>
        </is>
      </c>
      <c r="E5" s="29" t="inlineStr">
        <is>
          <t>R</t>
        </is>
      </c>
      <c r="F5" s="31" t="n">
        <v>0.5</v>
      </c>
      <c r="G5" s="29" t="inlineStr">
        <is>
          <t>0.2</t>
        </is>
      </c>
      <c r="H5" s="29" t="inlineStr"/>
      <c r="I5" s="29" t="inlineStr">
        <is>
          <t>Niet gestart</t>
        </is>
      </c>
      <c r="J5" s="32" t="n"/>
      <c r="K5" s="29" t="n"/>
    </row>
    <row r="6">
      <c r="A6" s="29" t="inlineStr">
        <is>
          <t>0.5</t>
        </is>
      </c>
      <c r="B6" s="29" t="inlineStr">
        <is>
          <t>0 · Fundament</t>
        </is>
      </c>
      <c r="C6" s="29" t="inlineStr">
        <is>
          <t>0A Het kritieke pad — deze week de deur uit</t>
        </is>
      </c>
      <c r="D6" s="30" t="inlineStr">
        <is>
          <t>Aanvraag versturen naar Scheidt &amp; Bachmann</t>
        </is>
      </c>
      <c r="E6" s="29" t="inlineStr">
        <is>
          <t>R</t>
        </is>
      </c>
      <c r="F6" s="31" t="n">
        <v>0.5</v>
      </c>
      <c r="G6" s="29" t="inlineStr">
        <is>
          <t>0.2</t>
        </is>
      </c>
      <c r="H6" s="29" t="inlineStr"/>
      <c r="I6" s="29" t="inlineStr">
        <is>
          <t>Niet gestart</t>
        </is>
      </c>
      <c r="J6" s="32" t="n"/>
      <c r="K6" s="29" t="n"/>
    </row>
    <row r="7">
      <c r="A7" s="29" t="inlineStr">
        <is>
          <t>0.6</t>
        </is>
      </c>
      <c r="B7" s="29" t="inlineStr">
        <is>
          <t>0 · Fundament</t>
        </is>
      </c>
      <c r="C7" s="29" t="inlineStr">
        <is>
          <t>0A Het kritieke pad — deze week de deur uit</t>
        </is>
      </c>
      <c r="D7" s="30" t="inlineStr">
        <is>
          <t>Aanvraag versturen naar Aeroparker</t>
        </is>
      </c>
      <c r="E7" s="29" t="inlineStr">
        <is>
          <t>R</t>
        </is>
      </c>
      <c r="F7" s="31" t="n">
        <v>0.5</v>
      </c>
      <c r="G7" s="29" t="inlineStr">
        <is>
          <t>0.2</t>
        </is>
      </c>
      <c r="H7" s="29" t="inlineStr"/>
      <c r="I7" s="29" t="inlineStr">
        <is>
          <t>Niet gestart</t>
        </is>
      </c>
      <c r="J7" s="32" t="n"/>
      <c r="K7" s="29" t="n"/>
    </row>
    <row r="8">
      <c r="A8" s="29" t="inlineStr">
        <is>
          <t>0.7</t>
        </is>
      </c>
      <c r="B8" s="29" t="inlineStr">
        <is>
          <t>0 · Fundament</t>
        </is>
      </c>
      <c r="C8" s="29" t="inlineStr">
        <is>
          <t>0A Het kritieke pad — deze week de deur uit</t>
        </is>
      </c>
      <c r="D8" s="30" t="inlineStr">
        <is>
          <t>AFAS-consultant benaderen: welke connectoren zitten in onze licentie, doet AFAS al facturatie/incasso?</t>
        </is>
      </c>
      <c r="E8" s="29" t="inlineStr">
        <is>
          <t>R</t>
        </is>
      </c>
      <c r="F8" s="31" t="n">
        <v>1</v>
      </c>
      <c r="G8" s="29" t="inlineStr"/>
      <c r="H8" s="29" t="inlineStr"/>
      <c r="I8" s="29" t="inlineStr">
        <is>
          <t>Niet gestart</t>
        </is>
      </c>
      <c r="J8" s="32" t="n"/>
      <c r="K8" s="29" t="n"/>
    </row>
    <row r="9">
      <c r="A9" s="29" t="inlineStr">
        <is>
          <t>0.8</t>
        </is>
      </c>
      <c r="B9" s="29" t="inlineStr">
        <is>
          <t>0 · Fundament</t>
        </is>
      </c>
      <c r="C9" s="29" t="inlineStr">
        <is>
          <t>0A Het kritieke pad — deze week de deur uit</t>
        </is>
      </c>
      <c r="D9" s="30" t="inlineStr">
        <is>
          <t>Zendesk: huidige inrichting en API-mogelijkheden in kaart brengen</t>
        </is>
      </c>
      <c r="E9" s="29" t="inlineStr">
        <is>
          <t>D3</t>
        </is>
      </c>
      <c r="F9" s="31" t="n">
        <v>2</v>
      </c>
      <c r="G9" s="29" t="inlineStr"/>
      <c r="H9" s="29" t="inlineStr"/>
      <c r="I9" s="29" t="inlineStr">
        <is>
          <t>Niet gestart</t>
        </is>
      </c>
      <c r="J9" s="32" t="n"/>
      <c r="K9" s="29" t="n"/>
    </row>
    <row r="10">
      <c r="A10" s="33" t="inlineStr">
        <is>
          <t>0.9</t>
        </is>
      </c>
      <c r="B10" s="29" t="inlineStr">
        <is>
          <t>0 · Fundament</t>
        </is>
      </c>
      <c r="C10" s="29" t="inlineStr">
        <is>
          <t>0A Het kritieke pad — deze week de deur uit</t>
        </is>
      </c>
      <c r="D10" s="30" t="inlineStr">
        <is>
          <t>Aanvraagdata vastleggen in `connector.aanvraag_verstuurd_op`</t>
        </is>
      </c>
      <c r="E10" s="29" t="inlineStr">
        <is>
          <t>R</t>
        </is>
      </c>
      <c r="F10" s="31" t="n">
        <v>0.5</v>
      </c>
      <c r="G10" s="29" t="inlineStr">
        <is>
          <t>0.3–0.6</t>
        </is>
      </c>
      <c r="H10" s="33" t="inlineStr">
        <is>
          <t>M0</t>
        </is>
      </c>
      <c r="I10" s="29" t="inlineStr">
        <is>
          <t>Niet gestart</t>
        </is>
      </c>
      <c r="J10" s="32" t="n"/>
      <c r="K10" s="29" t="n"/>
    </row>
    <row r="11">
      <c r="A11" s="29" t="inlineStr">
        <is>
          <t>0.10</t>
        </is>
      </c>
      <c r="B11" s="29" t="inlineStr">
        <is>
          <t>0 · Fundament</t>
        </is>
      </c>
      <c r="C11" s="29" t="inlineStr">
        <is>
          <t>0A Het kritieke pad — deze week de deur uit</t>
        </is>
      </c>
      <c r="D11" s="30" t="inlineStr">
        <is>
          <t>Herinnering inplannen: geen antwoord na 10 werkdagen = nabellen</t>
        </is>
      </c>
      <c r="E11" s="29" t="inlineStr">
        <is>
          <t>R</t>
        </is>
      </c>
      <c r="F11" s="31" t="n">
        <v>0.25</v>
      </c>
      <c r="G11" s="29" t="inlineStr">
        <is>
          <t>0.9</t>
        </is>
      </c>
      <c r="H11" s="29" t="inlineStr"/>
      <c r="I11" s="29" t="inlineStr">
        <is>
          <t>Niet gestart</t>
        </is>
      </c>
      <c r="J11" s="32" t="n"/>
      <c r="K11" s="29" t="n"/>
    </row>
    <row r="12">
      <c r="A12" s="29" t="inlineStr">
        <is>
          <t>0.11</t>
        </is>
      </c>
      <c r="B12" s="29" t="inlineStr">
        <is>
          <t>0 · Fundament</t>
        </is>
      </c>
      <c r="C12" s="29" t="inlineStr">
        <is>
          <t>0B Besluiten en mandaat</t>
        </is>
      </c>
      <c r="D12" s="30" t="inlineStr">
        <is>
          <t>Besluit 1 en 2 formeel vastleggen in het besluitenlogboek</t>
        </is>
      </c>
      <c r="E12" s="29" t="inlineStr">
        <is>
          <t>DIR</t>
        </is>
      </c>
      <c r="F12" s="31" t="n">
        <v>1</v>
      </c>
      <c r="G12" s="29" t="inlineStr"/>
      <c r="H12" s="29" t="inlineStr"/>
      <c r="I12" s="29" t="inlineStr">
        <is>
          <t>Niet gestart</t>
        </is>
      </c>
      <c r="J12" s="32" t="n"/>
      <c r="K12" s="29" t="n"/>
    </row>
    <row r="13">
      <c r="A13" s="29" t="inlineStr">
        <is>
          <t>0.12</t>
        </is>
      </c>
      <c r="B13" s="29" t="inlineStr">
        <is>
          <t>0 · Fundament</t>
        </is>
      </c>
      <c r="C13" s="29" t="inlineStr">
        <is>
          <t>0B Besluiten en mandaat</t>
        </is>
      </c>
      <c r="D13" s="30" t="inlineStr">
        <is>
          <t>Besluit 3 (automatiseringslaag) bevestigen of afwijzen</t>
        </is>
      </c>
      <c r="E13" s="29" t="inlineStr">
        <is>
          <t>R+DIR</t>
        </is>
      </c>
      <c r="F13" s="31" t="n">
        <v>1</v>
      </c>
      <c r="G13" s="29" t="inlineStr"/>
      <c r="H13" s="29" t="inlineStr"/>
      <c r="I13" s="29" t="inlineStr">
        <is>
          <t>Niet gestart</t>
        </is>
      </c>
      <c r="J13" s="32" t="n"/>
      <c r="K13" s="29" t="n"/>
    </row>
    <row r="14">
      <c r="A14" s="29" t="inlineStr">
        <is>
          <t>0.13</t>
        </is>
      </c>
      <c r="B14" s="29" t="inlineStr">
        <is>
          <t>0 · Fundament</t>
        </is>
      </c>
      <c r="C14" s="29" t="inlineStr">
        <is>
          <t>0B Besluiten en mandaat</t>
        </is>
      </c>
      <c r="D14" s="30" t="inlineStr">
        <is>
          <t>Besluit 6 (SharePoint-teamsite, Notion uitfaseren) nemen, mét einddatum voor Notion</t>
        </is>
      </c>
      <c r="E14" s="29" t="inlineStr">
        <is>
          <t>DIR</t>
        </is>
      </c>
      <c r="F14" s="31" t="n">
        <v>1</v>
      </c>
      <c r="G14" s="29" t="inlineStr"/>
      <c r="H14" s="29" t="inlineStr"/>
      <c r="I14" s="29" t="inlineStr">
        <is>
          <t>Niet gestart</t>
        </is>
      </c>
      <c r="J14" s="32" t="n"/>
      <c r="K14" s="29" t="n"/>
    </row>
    <row r="15">
      <c r="A15" s="29" t="inlineStr">
        <is>
          <t>0.14</t>
        </is>
      </c>
      <c r="B15" s="29" t="inlineStr">
        <is>
          <t>0 · Fundament</t>
        </is>
      </c>
      <c r="C15" s="29" t="inlineStr">
        <is>
          <t>0B Besluiten en mandaat</t>
        </is>
      </c>
      <c r="D15" s="30" t="inlineStr">
        <is>
          <t>Zeven domeineigenaren formeel aanwijzen — rol, niet persoon</t>
        </is>
      </c>
      <c r="E15" s="29" t="inlineStr">
        <is>
          <t>DIR</t>
        </is>
      </c>
      <c r="F15" s="31" t="n">
        <v>2</v>
      </c>
      <c r="G15" s="29" t="inlineStr"/>
      <c r="H15" s="29" t="inlineStr"/>
      <c r="I15" s="29" t="inlineStr">
        <is>
          <t>Niet gestart</t>
        </is>
      </c>
      <c r="J15" s="32" t="n"/>
      <c r="K15" s="29" t="n"/>
    </row>
    <row r="16">
      <c r="A16" s="29" t="inlineStr">
        <is>
          <t>0.15</t>
        </is>
      </c>
      <c r="B16" s="29" t="inlineStr">
        <is>
          <t>0 · Fundament</t>
        </is>
      </c>
      <c r="C16" s="29" t="inlineStr">
        <is>
          <t>0B Besluiten en mandaat</t>
        </is>
      </c>
      <c r="D16" s="30" t="inlineStr">
        <is>
          <t>Kick-off met de domeineigenaren: wat verandert er, wat wordt van hen verwacht</t>
        </is>
      </c>
      <c r="E16" s="29" t="inlineStr">
        <is>
          <t>R</t>
        </is>
      </c>
      <c r="F16" s="31" t="n">
        <v>3</v>
      </c>
      <c r="G16" s="29" t="inlineStr">
        <is>
          <t>0.14</t>
        </is>
      </c>
      <c r="H16" s="29" t="inlineStr"/>
      <c r="I16" s="29" t="inlineStr">
        <is>
          <t>Niet gestart</t>
        </is>
      </c>
      <c r="J16" s="32" t="n"/>
      <c r="K16" s="29" t="n"/>
    </row>
    <row r="17">
      <c r="A17" s="29" t="inlineStr">
        <is>
          <t>0.16</t>
        </is>
      </c>
      <c r="B17" s="29" t="inlineStr">
        <is>
          <t>0 · Fundament</t>
        </is>
      </c>
      <c r="C17" s="29" t="inlineStr">
        <is>
          <t>0B Besluiten en mandaat</t>
        </is>
      </c>
      <c r="D17" s="30" t="inlineStr">
        <is>
          <t>Afspraak vastleggen: 2 uur per week per domeineigenaar, in de agenda</t>
        </is>
      </c>
      <c r="E17" s="29" t="inlineStr">
        <is>
          <t>DIR</t>
        </is>
      </c>
      <c r="F17" s="31" t="n">
        <v>1</v>
      </c>
      <c r="G17" s="29" t="inlineStr">
        <is>
          <t>0.15</t>
        </is>
      </c>
      <c r="H17" s="29" t="inlineStr"/>
      <c r="I17" s="29" t="inlineStr">
        <is>
          <t>Niet gestart</t>
        </is>
      </c>
      <c r="J17" s="32" t="n"/>
      <c r="K17" s="29" t="n"/>
    </row>
    <row r="18">
      <c r="A18" s="29" t="inlineStr">
        <is>
          <t>0.17</t>
        </is>
      </c>
      <c r="B18" s="29" t="inlineStr">
        <is>
          <t>0 · Fundament</t>
        </is>
      </c>
      <c r="C18" s="29" t="inlineStr">
        <is>
          <t>0B Besluiten en mandaat</t>
        </is>
      </c>
      <c r="D18" s="30" t="inlineStr">
        <is>
          <t>Bevriezingsdatum oude drive afspreken en communiceren</t>
        </is>
      </c>
      <c r="E18" s="29" t="inlineStr">
        <is>
          <t>DIR</t>
        </is>
      </c>
      <c r="F18" s="31" t="n">
        <v>1</v>
      </c>
      <c r="G18" s="29" t="inlineStr">
        <is>
          <t>0.14</t>
        </is>
      </c>
      <c r="H18" s="29" t="inlineStr"/>
      <c r="I18" s="29" t="inlineStr">
        <is>
          <t>Niet gestart</t>
        </is>
      </c>
      <c r="J18" s="32" t="n"/>
      <c r="K18" s="29" t="n"/>
    </row>
    <row r="19">
      <c r="A19" s="29" t="inlineStr">
        <is>
          <t>0.18</t>
        </is>
      </c>
      <c r="B19" s="29" t="inlineStr">
        <is>
          <t>0 · Fundament</t>
        </is>
      </c>
      <c r="C19" s="29" t="inlineStr">
        <is>
          <t>0B Besluiten en mandaat</t>
        </is>
      </c>
      <c r="D19" s="30" t="inlineStr">
        <is>
          <t>Maandelijks voortgangsoverleg inplannen voor de hele looptijd</t>
        </is>
      </c>
      <c r="E19" s="29" t="inlineStr">
        <is>
          <t>R</t>
        </is>
      </c>
      <c r="F19" s="31" t="n">
        <v>0.5</v>
      </c>
      <c r="G19" s="29" t="inlineStr">
        <is>
          <t>0.14</t>
        </is>
      </c>
      <c r="H19" s="29" t="inlineStr"/>
      <c r="I19" s="29" t="inlineStr">
        <is>
          <t>Niet gestart</t>
        </is>
      </c>
      <c r="J19" s="32" t="n"/>
      <c r="K19" s="29" t="n"/>
    </row>
    <row r="20">
      <c r="A20" s="29" t="inlineStr">
        <is>
          <t>0.19</t>
        </is>
      </c>
      <c r="B20" s="29" t="inlineStr">
        <is>
          <t>0 · Fundament</t>
        </is>
      </c>
      <c r="C20" s="29" t="inlineStr">
        <is>
          <t>0C De datalaag opzetten</t>
        </is>
      </c>
      <c r="D20" s="30" t="inlineStr">
        <is>
          <t>Supabase-project `parkingyou-productie` aanmaken (eu-central-1)</t>
        </is>
      </c>
      <c r="E20" s="29" t="inlineStr">
        <is>
          <t>R</t>
        </is>
      </c>
      <c r="F20" s="31" t="n">
        <v>0.5</v>
      </c>
      <c r="G20" s="29" t="inlineStr">
        <is>
          <t>0.11</t>
        </is>
      </c>
      <c r="H20" s="29" t="inlineStr"/>
      <c r="I20" s="29" t="inlineStr">
        <is>
          <t>Niet gestart</t>
        </is>
      </c>
      <c r="J20" s="32" t="n"/>
      <c r="K20" s="29" t="n"/>
    </row>
    <row r="21">
      <c r="A21" s="29" t="inlineStr">
        <is>
          <t>0.20</t>
        </is>
      </c>
      <c r="B21" s="29" t="inlineStr">
        <is>
          <t>0 · Fundament</t>
        </is>
      </c>
      <c r="C21" s="29" t="inlineStr">
        <is>
          <t>0C De datalaag opzetten</t>
        </is>
      </c>
      <c r="D21" s="30" t="inlineStr">
        <is>
          <t>Migraties 0001–0011 toepassen</t>
        </is>
      </c>
      <c r="E21" s="29" t="inlineStr">
        <is>
          <t>C</t>
        </is>
      </c>
      <c r="F21" s="31" t="n">
        <v>0.5</v>
      </c>
      <c r="G21" s="29" t="inlineStr">
        <is>
          <t>0.19</t>
        </is>
      </c>
      <c r="H21" s="29" t="inlineStr"/>
      <c r="I21" s="29" t="inlineStr">
        <is>
          <t>Niet gestart</t>
        </is>
      </c>
      <c r="J21" s="32" t="n"/>
      <c r="K21" s="29" t="n"/>
    </row>
    <row r="22">
      <c r="A22" s="29" t="inlineStr">
        <is>
          <t>0.21</t>
        </is>
      </c>
      <c r="B22" s="29" t="inlineStr">
        <is>
          <t>0 · Fundament</t>
        </is>
      </c>
      <c r="C22" s="29" t="inlineStr">
        <is>
          <t>0C De datalaag opzetten</t>
        </is>
      </c>
      <c r="D22" s="30" t="inlineStr">
        <is>
          <t>`seed_referentiedata.sql` laden (Connector Registry)</t>
        </is>
      </c>
      <c r="E22" s="29" t="inlineStr">
        <is>
          <t>C</t>
        </is>
      </c>
      <c r="F22" s="31" t="n">
        <v>0.25</v>
      </c>
      <c r="G22" s="29" t="inlineStr">
        <is>
          <t>0.20</t>
        </is>
      </c>
      <c r="H22" s="29" t="inlineStr"/>
      <c r="I22" s="29" t="inlineStr">
        <is>
          <t>Niet gestart</t>
        </is>
      </c>
      <c r="J22" s="32" t="n"/>
      <c r="K22" s="29" t="n"/>
    </row>
    <row r="23">
      <c r="A23" s="29" t="inlineStr">
        <is>
          <t>0.22</t>
        </is>
      </c>
      <c r="B23" s="29" t="inlineStr">
        <is>
          <t>0 · Fundament</t>
        </is>
      </c>
      <c r="C23" s="29" t="inlineStr">
        <is>
          <t>0C De datalaag opzetten</t>
        </is>
      </c>
      <c r="D23" s="30" t="inlineStr">
        <is>
          <t>Schema controleren: 29 tabellen, 11 weergaven, RLS actief</t>
        </is>
      </c>
      <c r="E23" s="29" t="inlineStr">
        <is>
          <t>C</t>
        </is>
      </c>
      <c r="F23" s="31" t="n">
        <v>0.5</v>
      </c>
      <c r="G23" s="29" t="inlineStr">
        <is>
          <t>0.20</t>
        </is>
      </c>
      <c r="H23" s="29" t="inlineStr"/>
      <c r="I23" s="29" t="inlineStr">
        <is>
          <t>Niet gestart</t>
        </is>
      </c>
      <c r="J23" s="32" t="n"/>
      <c r="K23" s="29" t="n"/>
    </row>
    <row r="24">
      <c r="A24" s="29" t="inlineStr">
        <is>
          <t>0.23</t>
        </is>
      </c>
      <c r="B24" s="29" t="inlineStr">
        <is>
          <t>0 · Fundament</t>
        </is>
      </c>
      <c r="C24" s="29" t="inlineStr">
        <is>
          <t>0C De datalaag opzetten</t>
        </is>
      </c>
      <c r="D24" s="30" t="inlineStr">
        <is>
          <t>Domeinrollen aanmaken met inlogaccounts; wachtwoorden in de kluis</t>
        </is>
      </c>
      <c r="E24" s="29" t="inlineStr">
        <is>
          <t>R</t>
        </is>
      </c>
      <c r="F24" s="31" t="n">
        <v>1</v>
      </c>
      <c r="G24" s="29" t="inlineStr">
        <is>
          <t>0.20</t>
        </is>
      </c>
      <c r="H24" s="29" t="inlineStr"/>
      <c r="I24" s="29" t="inlineStr">
        <is>
          <t>Niet gestart</t>
        </is>
      </c>
      <c r="J24" s="32" t="n"/>
      <c r="K24" s="29" t="n"/>
    </row>
    <row r="25">
      <c r="A25" s="29" t="inlineStr">
        <is>
          <t>0.24</t>
        </is>
      </c>
      <c r="B25" s="29" t="inlineStr">
        <is>
          <t>0 · Fundament</t>
        </is>
      </c>
      <c r="C25" s="29" t="inlineStr">
        <is>
          <t>0C De datalaag opzetten</t>
        </is>
      </c>
      <c r="D25" s="30" t="inlineStr">
        <is>
          <t>Automatische back-up controleren en bewaartermijn instellen</t>
        </is>
      </c>
      <c r="E25" s="29" t="inlineStr">
        <is>
          <t>R</t>
        </is>
      </c>
      <c r="F25" s="31" t="n">
        <v>0.5</v>
      </c>
      <c r="G25" s="29" t="inlineStr">
        <is>
          <t>0.19</t>
        </is>
      </c>
      <c r="H25" s="29" t="inlineStr"/>
      <c r="I25" s="29" t="inlineStr">
        <is>
          <t>Niet gestart</t>
        </is>
      </c>
      <c r="J25" s="32" t="n"/>
      <c r="K25" s="29" t="n"/>
    </row>
    <row r="26">
      <c r="A26" s="29" t="inlineStr">
        <is>
          <t>0.25</t>
        </is>
      </c>
      <c r="B26" s="29" t="inlineStr">
        <is>
          <t>0 · Fundament</t>
        </is>
      </c>
      <c r="C26" s="29" t="inlineStr">
        <is>
          <t>0C De datalaag opzetten</t>
        </is>
      </c>
      <c r="D26" s="30" t="inlineStr">
        <is>
          <t>Supabase-branch `test` aanmaken voor het oefenen van mijlpalen</t>
        </is>
      </c>
      <c r="E26" s="29" t="inlineStr">
        <is>
          <t>C</t>
        </is>
      </c>
      <c r="F26" s="31" t="n">
        <v>0.5</v>
      </c>
      <c r="G26" s="29" t="inlineStr">
        <is>
          <t>0.20</t>
        </is>
      </c>
      <c r="H26" s="29" t="inlineStr"/>
      <c r="I26" s="29" t="inlineStr">
        <is>
          <t>Niet gestart</t>
        </is>
      </c>
      <c r="J26" s="32" t="n"/>
      <c r="K26" s="29" t="n"/>
    </row>
    <row r="27">
      <c r="A27" s="29" t="inlineStr">
        <is>
          <t>0.26</t>
        </is>
      </c>
      <c r="B27" s="29" t="inlineStr">
        <is>
          <t>0 · Fundament</t>
        </is>
      </c>
      <c r="C27" s="29" t="inlineStr">
        <is>
          <t>0D De formulierlaag</t>
        </is>
      </c>
      <c r="D27" s="30" t="inlineStr">
        <is>
          <t>NocoDB opzetten (cloud of self-hosted) en verbinden met Supabase</t>
        </is>
      </c>
      <c r="E27" s="29" t="inlineStr">
        <is>
          <t>R+C</t>
        </is>
      </c>
      <c r="F27" s="31" t="n">
        <v>3</v>
      </c>
      <c r="G27" s="29" t="inlineStr">
        <is>
          <t>0.23</t>
        </is>
      </c>
      <c r="H27" s="29" t="inlineStr"/>
      <c r="I27" s="29" t="inlineStr">
        <is>
          <t>Niet gestart</t>
        </is>
      </c>
      <c r="J27" s="32" t="n"/>
      <c r="K27" s="29" t="n"/>
    </row>
    <row r="28">
      <c r="A28" s="29" t="inlineStr">
        <is>
          <t>0.27</t>
        </is>
      </c>
      <c r="B28" s="29" t="inlineStr">
        <is>
          <t>0 · Fundament</t>
        </is>
      </c>
      <c r="C28" s="29" t="inlineStr">
        <is>
          <t>0D De formulierlaag</t>
        </is>
      </c>
      <c r="D28" s="30" t="inlineStr">
        <is>
          <t>Base per domein aanmaken, elk met de eigen domeinrol als connectie</t>
        </is>
      </c>
      <c r="E28" s="29" t="inlineStr">
        <is>
          <t>C</t>
        </is>
      </c>
      <c r="F28" s="31" t="n">
        <v>2</v>
      </c>
      <c r="G28" s="29" t="inlineStr">
        <is>
          <t>0.26</t>
        </is>
      </c>
      <c r="H28" s="29" t="inlineStr"/>
      <c r="I28" s="29" t="inlineStr">
        <is>
          <t>Niet gestart</t>
        </is>
      </c>
      <c r="J28" s="32" t="n"/>
      <c r="K28" s="29" t="n"/>
    </row>
    <row r="29">
      <c r="A29" s="29" t="inlineStr">
        <is>
          <t>0.28</t>
        </is>
      </c>
      <c r="B29" s="29" t="inlineStr">
        <is>
          <t>0 · Fundament</t>
        </is>
      </c>
      <c r="C29" s="29" t="inlineStr">
        <is>
          <t>0D De formulierlaag</t>
        </is>
      </c>
      <c r="D29" s="30" t="inlineStr">
        <is>
          <t>Formulier + lijstweergave voor het locatieregister</t>
        </is>
      </c>
      <c r="E29" s="29" t="inlineStr">
        <is>
          <t>C</t>
        </is>
      </c>
      <c r="F29" s="31" t="n">
        <v>2</v>
      </c>
      <c r="G29" s="29" t="inlineStr">
        <is>
          <t>0.27</t>
        </is>
      </c>
      <c r="H29" s="29" t="inlineStr"/>
      <c r="I29" s="29" t="inlineStr">
        <is>
          <t>Niet gestart</t>
        </is>
      </c>
      <c r="J29" s="32" t="n"/>
      <c r="K29" s="29" t="n"/>
    </row>
    <row r="30">
      <c r="A30" s="29" t="inlineStr">
        <is>
          <t>0.29</t>
        </is>
      </c>
      <c r="B30" s="29" t="inlineStr">
        <is>
          <t>0 · Fundament</t>
        </is>
      </c>
      <c r="C30" s="29" t="inlineStr">
        <is>
          <t>0D De formulierlaag</t>
        </is>
      </c>
      <c r="D30" s="30" t="inlineStr">
        <is>
          <t>Formulier voor contractpartijen en systeempartner-historie</t>
        </is>
      </c>
      <c r="E30" s="29" t="inlineStr">
        <is>
          <t>C</t>
        </is>
      </c>
      <c r="F30" s="31" t="n">
        <v>2</v>
      </c>
      <c r="G30" s="29" t="inlineStr">
        <is>
          <t>0.27</t>
        </is>
      </c>
      <c r="H30" s="29" t="inlineStr"/>
      <c r="I30" s="29" t="inlineStr">
        <is>
          <t>Niet gestart</t>
        </is>
      </c>
      <c r="J30" s="32" t="n"/>
      <c r="K30" s="29" t="n"/>
    </row>
    <row r="31">
      <c r="A31" s="29" t="inlineStr">
        <is>
          <t>0.30</t>
        </is>
      </c>
      <c r="B31" s="29" t="inlineStr">
        <is>
          <t>0 · Fundament</t>
        </is>
      </c>
      <c r="C31" s="29" t="inlineStr">
        <is>
          <t>0D De formulierlaag</t>
        </is>
      </c>
      <c r="D31" s="30" t="inlineStr">
        <is>
          <t>Inloggegevens uitdelen en per domeineigenaar 30 minuten uitleg geven</t>
        </is>
      </c>
      <c r="E31" s="29" t="inlineStr">
        <is>
          <t>R</t>
        </is>
      </c>
      <c r="F31" s="31" t="n">
        <v>4</v>
      </c>
      <c r="G31" s="29" t="inlineStr">
        <is>
          <t>0.28</t>
        </is>
      </c>
      <c r="H31" s="29" t="inlineStr"/>
      <c r="I31" s="29" t="inlineStr">
        <is>
          <t>Niet gestart</t>
        </is>
      </c>
      <c r="J31" s="32" t="n"/>
      <c r="K31" s="29" t="n"/>
    </row>
    <row r="32">
      <c r="A32" s="29" t="inlineStr">
        <is>
          <t>0.31</t>
        </is>
      </c>
      <c r="B32" s="29" t="inlineStr">
        <is>
          <t>0 · Fundament</t>
        </is>
      </c>
      <c r="C32" s="29" t="inlineStr">
        <is>
          <t>0E Uitzoekwerk dat besluiten blokkeert</t>
        </is>
      </c>
      <c r="D32" s="30" t="inlineStr">
        <is>
          <t>Meldkamer in kaart brengen: wat doen ze, wat registreren ze, waar landt het, is het te ontsluiten?</t>
        </is>
      </c>
      <c r="E32" s="29" t="inlineStr">
        <is>
          <t>D2</t>
        </is>
      </c>
      <c r="F32" s="31" t="n">
        <v>4</v>
      </c>
      <c r="G32" s="29" t="inlineStr"/>
      <c r="H32" s="29" t="inlineStr"/>
      <c r="I32" s="29" t="inlineStr">
        <is>
          <t>Niet gestart</t>
        </is>
      </c>
      <c r="J32" s="32" t="n"/>
      <c r="K32" s="29" t="n"/>
    </row>
    <row r="33">
      <c r="A33" s="29" t="inlineStr">
        <is>
          <t>0.32</t>
        </is>
      </c>
      <c r="B33" s="29" t="inlineStr">
        <is>
          <t>0 · Fundament</t>
        </is>
      </c>
      <c r="C33" s="29" t="inlineStr">
        <is>
          <t>0E Uitzoekwerk dat besluiten blokkeert</t>
        </is>
      </c>
      <c r="D33" s="30" t="inlineStr">
        <is>
          <t>Bestaan er prognoses per locatie? Zo ja, waar en hoe gemaakt?</t>
        </is>
      </c>
      <c r="E33" s="29" t="inlineStr">
        <is>
          <t>D1</t>
        </is>
      </c>
      <c r="F33" s="31" t="n">
        <v>2</v>
      </c>
      <c r="G33" s="29" t="inlineStr"/>
      <c r="H33" s="29" t="inlineStr"/>
      <c r="I33" s="29" t="inlineStr">
        <is>
          <t>Niet gestart</t>
        </is>
      </c>
      <c r="J33" s="32" t="n"/>
      <c r="K33" s="29" t="n"/>
    </row>
    <row r="34">
      <c r="A34" s="29" t="inlineStr">
        <is>
          <t>0.33</t>
        </is>
      </c>
      <c r="B34" s="29" t="inlineStr">
        <is>
          <t>0 · Fundament</t>
        </is>
      </c>
      <c r="C34" s="29" t="inlineStr">
        <is>
          <t>0E Uitzoekwerk dat besluiten blokkeert</t>
        </is>
      </c>
      <c r="D34" s="30" t="inlineStr">
        <is>
          <t>Inventariseren welk parkeersysteem op hoeveel locaties draait (bepaalt de pilot)</t>
        </is>
      </c>
      <c r="E34" s="29" t="inlineStr">
        <is>
          <t>D2</t>
        </is>
      </c>
      <c r="F34" s="31" t="n">
        <v>2</v>
      </c>
      <c r="G34" s="29" t="inlineStr"/>
      <c r="H34" s="29" t="inlineStr"/>
      <c r="I34" s="29" t="inlineStr">
        <is>
          <t>Niet gestart</t>
        </is>
      </c>
      <c r="J34" s="32" t="n"/>
      <c r="K34" s="29" t="n"/>
    </row>
    <row r="35">
      <c r="A35" s="29" t="inlineStr">
        <is>
          <t>0.34</t>
        </is>
      </c>
      <c r="B35" s="29" t="inlineStr">
        <is>
          <t>0 · Fundament</t>
        </is>
      </c>
      <c r="C35" s="29" t="inlineStr">
        <is>
          <t>0E Uitzoekwerk dat besluiten blokkeert</t>
        </is>
      </c>
      <c r="D35" s="30" t="inlineStr">
        <is>
          <t>AVG: verwerkingsregister actualiseren voor de nieuwe datalaag</t>
        </is>
      </c>
      <c r="E35" s="29" t="inlineStr">
        <is>
          <t>DIR</t>
        </is>
      </c>
      <c r="F35" s="31" t="n">
        <v>3</v>
      </c>
      <c r="G35" s="29" t="inlineStr">
        <is>
          <t>0.20</t>
        </is>
      </c>
      <c r="H35" s="29" t="inlineStr"/>
      <c r="I35" s="29" t="inlineStr">
        <is>
          <t>Niet gestart</t>
        </is>
      </c>
      <c r="J35" s="32" t="n"/>
      <c r="K35" s="29" t="n"/>
    </row>
    <row r="36">
      <c r="A36" s="29" t="inlineStr">
        <is>
          <t>0.35</t>
        </is>
      </c>
      <c r="B36" s="29" t="inlineStr">
        <is>
          <t>0 · Fundament</t>
        </is>
      </c>
      <c r="C36" s="29" t="inlineStr">
        <is>
          <t>0E Uitzoekwerk dat besluiten blokkeert</t>
        </is>
      </c>
      <c r="D36" s="30" t="inlineStr">
        <is>
          <t>AVG: bewaartermijn kentekens en abonneegegevens na opzegging vastleggen</t>
        </is>
      </c>
      <c r="E36" s="29" t="inlineStr">
        <is>
          <t>DIR</t>
        </is>
      </c>
      <c r="F36" s="31" t="n">
        <v>2</v>
      </c>
      <c r="G36" s="29" t="inlineStr">
        <is>
          <t>0.34</t>
        </is>
      </c>
      <c r="H36" s="29" t="inlineStr"/>
      <c r="I36" s="29" t="inlineStr">
        <is>
          <t>Niet gestart</t>
        </is>
      </c>
      <c r="J36" s="32" t="n"/>
      <c r="K36" s="29" t="n"/>
    </row>
    <row r="37">
      <c r="A37" s="29" t="inlineStr">
        <is>
          <t>0.36</t>
        </is>
      </c>
      <c r="B37" s="29" t="inlineStr">
        <is>
          <t>0 · Fundament</t>
        </is>
      </c>
      <c r="C37" s="29" t="inlineStr">
        <is>
          <t>0E Uitzoekwerk dat besluiten blokkeert</t>
        </is>
      </c>
      <c r="D37" s="30" t="inlineStr">
        <is>
          <t>AVG: verwerkersovereenkomst met Supabase controleren en archiveren</t>
        </is>
      </c>
      <c r="E37" s="29" t="inlineStr">
        <is>
          <t>DIR</t>
        </is>
      </c>
      <c r="F37" s="31" t="n">
        <v>1</v>
      </c>
      <c r="G37" s="29" t="inlineStr">
        <is>
          <t>0.19</t>
        </is>
      </c>
      <c r="H37" s="29" t="inlineStr"/>
      <c r="I37" s="29" t="inlineStr">
        <is>
          <t>Niet gestart</t>
        </is>
      </c>
      <c r="J37" s="32" t="n"/>
      <c r="K37" s="29" t="n"/>
    </row>
    <row r="38">
      <c r="A38" s="29" t="inlineStr">
        <is>
          <t>0.37</t>
        </is>
      </c>
      <c r="B38" s="29" t="inlineStr">
        <is>
          <t>0 · Fundament</t>
        </is>
      </c>
      <c r="C38" s="29" t="inlineStr">
        <is>
          <t>0F De registers vullen</t>
        </is>
      </c>
      <c r="D38" s="30" t="inlineStr">
        <is>
          <t>Locatiesjabloon invullen: 37 locaties, basisgegevens</t>
        </is>
      </c>
      <c r="E38" s="29" t="inlineStr">
        <is>
          <t>D2</t>
        </is>
      </c>
      <c r="F38" s="31" t="n">
        <v>6</v>
      </c>
      <c r="G38" s="29" t="inlineStr">
        <is>
          <t>0.28</t>
        </is>
      </c>
      <c r="H38" s="29" t="inlineStr"/>
      <c r="I38" s="29" t="inlineStr">
        <is>
          <t>Niet gestart</t>
        </is>
      </c>
      <c r="J38" s="32" t="n"/>
      <c r="K38" s="29" t="n"/>
    </row>
    <row r="39">
      <c r="A39" s="29" t="inlineStr">
        <is>
          <t>0.38</t>
        </is>
      </c>
      <c r="B39" s="29" t="inlineStr">
        <is>
          <t>0 · Fundament</t>
        </is>
      </c>
      <c r="C39" s="29" t="inlineStr">
        <is>
          <t>0F De registers vullen</t>
        </is>
      </c>
      <c r="D39" s="30" t="inlineStr">
        <is>
          <t>Per locatie het dienstverleningstype bepalen (exploitatie/advies/onderhoud/beheer)</t>
        </is>
      </c>
      <c r="E39" s="29" t="inlineStr">
        <is>
          <t>D2+DIR</t>
        </is>
      </c>
      <c r="F39" s="31" t="n">
        <v>2</v>
      </c>
      <c r="G39" s="29" t="inlineStr">
        <is>
          <t>0.37</t>
        </is>
      </c>
      <c r="H39" s="29" t="inlineStr"/>
      <c r="I39" s="29" t="inlineStr">
        <is>
          <t>Niet gestart</t>
        </is>
      </c>
      <c r="J39" s="32" t="n"/>
      <c r="K39" s="29" t="n"/>
    </row>
    <row r="40">
      <c r="A40" s="29" t="inlineStr">
        <is>
          <t>0.39</t>
        </is>
      </c>
      <c r="B40" s="29" t="inlineStr">
        <is>
          <t>0 · Fundament</t>
        </is>
      </c>
      <c r="C40" s="29" t="inlineStr">
        <is>
          <t>0F De registers vullen</t>
        </is>
      </c>
      <c r="D40" s="30" t="inlineStr">
        <is>
          <t>Per locatie de systeempartner en het externe locatie-ID vastleggen</t>
        </is>
      </c>
      <c r="E40" s="29" t="inlineStr">
        <is>
          <t>D2</t>
        </is>
      </c>
      <c r="F40" s="31" t="n">
        <v>3</v>
      </c>
      <c r="G40" s="29" t="inlineStr">
        <is>
          <t>0.37</t>
        </is>
      </c>
      <c r="H40" s="29" t="inlineStr"/>
      <c r="I40" s="29" t="inlineStr">
        <is>
          <t>Niet gestart</t>
        </is>
      </c>
      <c r="J40" s="32" t="n"/>
      <c r="K40" s="29" t="n"/>
    </row>
    <row r="41">
      <c r="A41" s="29" t="inlineStr">
        <is>
          <t>0.40</t>
        </is>
      </c>
      <c r="B41" s="29" t="inlineStr">
        <is>
          <t>0 · Fundament</t>
        </is>
      </c>
      <c r="C41" s="29" t="inlineStr">
        <is>
          <t>0F De registers vullen</t>
        </is>
      </c>
      <c r="D41" s="30" t="inlineStr">
        <is>
          <t>Per locatie de contractpartijen vastleggen, inclusief wie primair contact is</t>
        </is>
      </c>
      <c r="E41" s="29" t="inlineStr">
        <is>
          <t>DIR</t>
        </is>
      </c>
      <c r="F41" s="31" t="n">
        <v>4</v>
      </c>
      <c r="G41" s="29" t="inlineStr">
        <is>
          <t>0.37</t>
        </is>
      </c>
      <c r="H41" s="29" t="inlineStr"/>
      <c r="I41" s="29" t="inlineStr">
        <is>
          <t>Niet gestart</t>
        </is>
      </c>
      <c r="J41" s="32" t="n"/>
      <c r="K41" s="29" t="n"/>
    </row>
    <row r="42">
      <c r="A42" s="29" t="inlineStr">
        <is>
          <t>0.41</t>
        </is>
      </c>
      <c r="B42" s="29" t="inlineStr">
        <is>
          <t>0 · Fundament</t>
        </is>
      </c>
      <c r="C42" s="29" t="inlineStr">
        <is>
          <t>0F De registers vullen</t>
        </is>
      </c>
      <c r="D42" s="30" t="inlineStr">
        <is>
          <t>Lopende contracten koppelen aan locaties, met documentlink naar SharePoint</t>
        </is>
      </c>
      <c r="E42" s="29" t="inlineStr">
        <is>
          <t>DIR</t>
        </is>
      </c>
      <c r="F42" s="31" t="n">
        <v>4</v>
      </c>
      <c r="G42" s="29" t="inlineStr">
        <is>
          <t>0.40</t>
        </is>
      </c>
      <c r="H42" s="29" t="inlineStr"/>
      <c r="I42" s="29" t="inlineStr">
        <is>
          <t>Niet gestart</t>
        </is>
      </c>
      <c r="J42" s="32" t="n"/>
      <c r="K42" s="29" t="n"/>
    </row>
    <row r="43">
      <c r="A43" s="29" t="inlineStr">
        <is>
          <t>0.42</t>
        </is>
      </c>
      <c r="B43" s="29" t="inlineStr">
        <is>
          <t>0 · Fundament</t>
        </is>
      </c>
      <c r="C43" s="29" t="inlineStr">
        <is>
          <t>0F De registers vullen</t>
        </is>
      </c>
      <c r="D43" s="30" t="inlineStr">
        <is>
          <t>Parkeerhosts invoeren en aan locaties koppelen</t>
        </is>
      </c>
      <c r="E43" s="29" t="inlineStr">
        <is>
          <t>D2</t>
        </is>
      </c>
      <c r="F43" s="31" t="n">
        <v>2</v>
      </c>
      <c r="G43" s="29" t="inlineStr">
        <is>
          <t>0.37</t>
        </is>
      </c>
      <c r="H43" s="29" t="inlineStr"/>
      <c r="I43" s="29" t="inlineStr">
        <is>
          <t>Niet gestart</t>
        </is>
      </c>
      <c r="J43" s="32" t="n"/>
      <c r="K43" s="29" t="n"/>
    </row>
    <row r="44">
      <c r="A44" s="29" t="inlineStr">
        <is>
          <t>0.43</t>
        </is>
      </c>
      <c r="B44" s="29" t="inlineStr">
        <is>
          <t>0 · Fundament</t>
        </is>
      </c>
      <c r="C44" s="29" t="inlineStr">
        <is>
          <t>0F De registers vullen</t>
        </is>
      </c>
      <c r="D44" s="30" t="inlineStr">
        <is>
          <t>Apparatuur per locatie invoeren (slagbomen, automaten, intercoms)</t>
        </is>
      </c>
      <c r="E44" s="29" t="inlineStr">
        <is>
          <t>D2</t>
        </is>
      </c>
      <c r="F44" s="31" t="n">
        <v>6</v>
      </c>
      <c r="G44" s="29" t="inlineStr">
        <is>
          <t>0.37</t>
        </is>
      </c>
      <c r="H44" s="29" t="inlineStr"/>
      <c r="I44" s="29" t="inlineStr">
        <is>
          <t>Niet gestart</t>
        </is>
      </c>
      <c r="J44" s="32" t="n"/>
      <c r="K44" s="29" t="n"/>
    </row>
    <row r="45">
      <c r="A45" s="33" t="inlineStr">
        <is>
          <t>0.44</t>
        </is>
      </c>
      <c r="B45" s="29" t="inlineStr">
        <is>
          <t>0 · Fundament</t>
        </is>
      </c>
      <c r="C45" s="29" t="inlineStr">
        <is>
          <t>0F De registers vullen</t>
        </is>
      </c>
      <c r="D45" s="30" t="inlineStr">
        <is>
          <t>Import uitvoeren en `v_datakwaliteit` leegwerken</t>
        </is>
      </c>
      <c r="E45" s="29" t="inlineStr">
        <is>
          <t>C+D2</t>
        </is>
      </c>
      <c r="F45" s="31" t="n">
        <v>3</v>
      </c>
      <c r="G45" s="29" t="inlineStr">
        <is>
          <t>0.37–0.43</t>
        </is>
      </c>
      <c r="H45" s="33" t="inlineStr">
        <is>
          <t>M1</t>
        </is>
      </c>
      <c r="I45" s="29" t="inlineStr">
        <is>
          <t>Niet gestart</t>
        </is>
      </c>
      <c r="J45" s="32" t="n"/>
      <c r="K45" s="29" t="n"/>
    </row>
    <row r="46">
      <c r="A46" s="29" t="inlineStr">
        <is>
          <t>0.45</t>
        </is>
      </c>
      <c r="B46" s="29" t="inlineStr">
        <is>
          <t>0 · Fundament</t>
        </is>
      </c>
      <c r="C46" s="29" t="inlineStr">
        <is>
          <t>0G De documentlaag</t>
        </is>
      </c>
      <c r="D46" s="30" t="inlineStr">
        <is>
          <t>SharePoint-teamsite aanmaken met de structuur uit de mappenstructuur</t>
        </is>
      </c>
      <c r="E46" s="29" t="inlineStr">
        <is>
          <t>R</t>
        </is>
      </c>
      <c r="F46" s="31" t="n">
        <v>3</v>
      </c>
      <c r="G46" s="29" t="inlineStr">
        <is>
          <t>0.13</t>
        </is>
      </c>
      <c r="H46" s="29" t="inlineStr"/>
      <c r="I46" s="29" t="inlineStr">
        <is>
          <t>Niet gestart</t>
        </is>
      </c>
      <c r="J46" s="32" t="n"/>
      <c r="K46" s="29" t="n"/>
    </row>
    <row r="47">
      <c r="A47" s="29" t="inlineStr">
        <is>
          <t>0.46</t>
        </is>
      </c>
      <c r="B47" s="29" t="inlineStr">
        <is>
          <t>0 · Fundament</t>
        </is>
      </c>
      <c r="C47" s="29" t="inlineStr">
        <is>
          <t>0G De documentlaag</t>
        </is>
      </c>
      <c r="D47" s="30" t="inlineStr">
        <is>
          <t>Rechten per hoofdmap instellen volgens de toegangsmatrix</t>
        </is>
      </c>
      <c r="E47" s="29" t="inlineStr">
        <is>
          <t>R</t>
        </is>
      </c>
      <c r="F47" s="31" t="n">
        <v>2</v>
      </c>
      <c r="G47" s="29" t="inlineStr">
        <is>
          <t>0.45</t>
        </is>
      </c>
      <c r="H47" s="29" t="inlineStr"/>
      <c r="I47" s="29" t="inlineStr">
        <is>
          <t>Niet gestart</t>
        </is>
      </c>
      <c r="J47" s="32" t="n"/>
      <c r="K47" s="29" t="n"/>
    </row>
    <row r="48">
      <c r="A48" s="29" t="inlineStr">
        <is>
          <t>0.47</t>
        </is>
      </c>
      <c r="B48" s="29" t="inlineStr">
        <is>
          <t>0 · Fundament</t>
        </is>
      </c>
      <c r="C48" s="29" t="inlineStr">
        <is>
          <t>0G De documentlaag</t>
        </is>
      </c>
      <c r="D48" s="30" t="inlineStr">
        <is>
          <t>90_TEMPLATES vullen: één versie per sjabloonsoort, ontdubbeld</t>
        </is>
      </c>
      <c r="E48" s="29" t="inlineStr">
        <is>
          <t>alle</t>
        </is>
      </c>
      <c r="F48" s="31" t="n">
        <v>6</v>
      </c>
      <c r="G48" s="29" t="inlineStr">
        <is>
          <t>0.45</t>
        </is>
      </c>
      <c r="H48" s="29" t="inlineStr"/>
      <c r="I48" s="29" t="inlineStr">
        <is>
          <t>Niet gestart</t>
        </is>
      </c>
      <c r="J48" s="32" t="n"/>
      <c r="K48" s="29" t="n"/>
    </row>
    <row r="49">
      <c r="A49" s="29" t="inlineStr">
        <is>
          <t>0.48</t>
        </is>
      </c>
      <c r="B49" s="29" t="inlineStr">
        <is>
          <t>0 · Fundament</t>
        </is>
      </c>
      <c r="C49" s="29" t="inlineStr">
        <is>
          <t>0G De documentlaag</t>
        </is>
      </c>
      <c r="D49" s="30" t="inlineStr">
        <is>
          <t>Locatiedossiers aanmaken: 37 mappen met vaste indeling</t>
        </is>
      </c>
      <c r="E49" s="29" t="inlineStr">
        <is>
          <t>D2</t>
        </is>
      </c>
      <c r="F49" s="31" t="n">
        <v>2</v>
      </c>
      <c r="G49" s="29" t="inlineStr">
        <is>
          <t>0.45</t>
        </is>
      </c>
      <c r="H49" s="29" t="inlineStr"/>
      <c r="I49" s="29" t="inlineStr">
        <is>
          <t>Niet gestart</t>
        </is>
      </c>
      <c r="J49" s="32" t="n"/>
      <c r="K49" s="29" t="n"/>
    </row>
    <row r="50">
      <c r="A50" s="29" t="inlineStr">
        <is>
          <t>0.49</t>
        </is>
      </c>
      <c r="B50" s="29" t="inlineStr">
        <is>
          <t>0 · Fundament</t>
        </is>
      </c>
      <c r="C50" s="29" t="inlineStr">
        <is>
          <t>0G De documentlaag</t>
        </is>
      </c>
      <c r="D50" s="30" t="inlineStr">
        <is>
          <t>Vitale documenten overzetten (regel: wat je de komende 90 dagen nodig hebt)</t>
        </is>
      </c>
      <c r="E50" s="29" t="inlineStr">
        <is>
          <t>alle</t>
        </is>
      </c>
      <c r="F50" s="31" t="n">
        <v>12</v>
      </c>
      <c r="G50" s="29" t="inlineStr">
        <is>
          <t>0.47</t>
        </is>
      </c>
      <c r="H50" s="29" t="inlineStr"/>
      <c r="I50" s="29" t="inlineStr">
        <is>
          <t>Niet gestart</t>
        </is>
      </c>
      <c r="J50" s="32" t="n"/>
      <c r="K50" s="29" t="n"/>
    </row>
    <row r="51">
      <c r="A51" s="29" t="inlineStr">
        <is>
          <t>0.50</t>
        </is>
      </c>
      <c r="B51" s="29" t="inlineStr">
        <is>
          <t>0 · Fundament</t>
        </is>
      </c>
      <c r="C51" s="29" t="inlineStr">
        <is>
          <t>0G De documentlaag</t>
        </is>
      </c>
      <c r="D51" s="30" t="inlineStr">
        <is>
          <t>Oude drive op alleen-lezen zetten op de afgesproken datum</t>
        </is>
      </c>
      <c r="E51" s="29" t="inlineStr">
        <is>
          <t>R</t>
        </is>
      </c>
      <c r="F51" s="31" t="n">
        <v>1</v>
      </c>
      <c r="G51" s="29" t="inlineStr">
        <is>
          <t>0.17, 0.49</t>
        </is>
      </c>
      <c r="H51" s="29" t="inlineStr"/>
      <c r="I51" s="29" t="inlineStr">
        <is>
          <t>Niet gestart</t>
        </is>
      </c>
      <c r="J51" s="32" t="n"/>
      <c r="K51" s="29" t="n"/>
    </row>
    <row r="52">
      <c r="A52" s="29" t="inlineStr">
        <is>
          <t>0.51</t>
        </is>
      </c>
      <c r="B52" s="29" t="inlineStr">
        <is>
          <t>0 · Fundament</t>
        </is>
      </c>
      <c r="C52" s="29" t="inlineStr">
        <is>
          <t>0G De documentlaag</t>
        </is>
      </c>
      <c r="D52" s="30" t="inlineStr">
        <is>
          <t>Notion exporteren en archiveren in 99_ARCHIEF</t>
        </is>
      </c>
      <c r="E52" s="29" t="inlineStr">
        <is>
          <t>R</t>
        </is>
      </c>
      <c r="F52" s="31" t="n">
        <v>2</v>
      </c>
      <c r="G52" s="29" t="inlineStr">
        <is>
          <t>0.13</t>
        </is>
      </c>
      <c r="H52" s="29" t="inlineStr"/>
      <c r="I52" s="29" t="inlineStr">
        <is>
          <t>Niet gestart</t>
        </is>
      </c>
      <c r="J52" s="32" t="n"/>
      <c r="K52" s="29" t="n"/>
    </row>
    <row r="53">
      <c r="A53" s="33" t="inlineStr">
        <is>
          <t>0.52</t>
        </is>
      </c>
      <c r="B53" s="29" t="inlineStr">
        <is>
          <t>0 · Fundament</t>
        </is>
      </c>
      <c r="C53" s="29" t="inlineStr">
        <is>
          <t>0G De documentlaag</t>
        </is>
      </c>
      <c r="D53" s="30" t="inlineStr">
        <is>
          <t>Spelregels-A4 ophangen en in de kennisbank plaatsen</t>
        </is>
      </c>
      <c r="E53" s="29" t="inlineStr">
        <is>
          <t>R</t>
        </is>
      </c>
      <c r="F53" s="31" t="n">
        <v>1</v>
      </c>
      <c r="G53" s="29" t="inlineStr">
        <is>
          <t>0.45</t>
        </is>
      </c>
      <c r="H53" s="33" t="inlineStr">
        <is>
          <t>M2</t>
        </is>
      </c>
      <c r="I53" s="29" t="inlineStr">
        <is>
          <t>Niet gestart</t>
        </is>
      </c>
      <c r="J53" s="32" t="n"/>
      <c r="K53" s="29" t="n"/>
    </row>
    <row r="54">
      <c r="A54" s="34" t="inlineStr">
        <is>
          <t>1.1</t>
        </is>
      </c>
      <c r="B54" s="34" t="inlineStr">
        <is>
          <t>1 · Abonnementen</t>
        </is>
      </c>
      <c r="C54" s="34" t="inlineStr"/>
      <c r="D54" s="35" t="inlineStr">
        <is>
          <t>Alle bestaande abonneebestanden verzamelen en inventariseren</t>
        </is>
      </c>
      <c r="E54" s="34" t="inlineStr">
        <is>
          <t>D3</t>
        </is>
      </c>
      <c r="F54" s="36" t="n">
        <v>3</v>
      </c>
      <c r="G54" s="34" t="inlineStr">
        <is>
          <t>M1</t>
        </is>
      </c>
      <c r="H54" s="34" t="inlineStr"/>
      <c r="I54" s="34" t="inlineStr">
        <is>
          <t>Niet gestart</t>
        </is>
      </c>
      <c r="J54" s="37" t="n"/>
      <c r="K54" s="34" t="n"/>
    </row>
    <row r="55">
      <c r="A55" s="34" t="inlineStr">
        <is>
          <t>1.2</t>
        </is>
      </c>
      <c r="B55" s="34" t="inlineStr">
        <is>
          <t>1 · Abonnementen</t>
        </is>
      </c>
      <c r="C55" s="34" t="inlineStr"/>
      <c r="D55" s="35" t="inlineStr">
        <is>
          <t>Bepalen welk bestand leidend is bij tegenstrijdigheden</t>
        </is>
      </c>
      <c r="E55" s="34" t="inlineStr">
        <is>
          <t>D3+D1</t>
        </is>
      </c>
      <c r="F55" s="36" t="n">
        <v>2</v>
      </c>
      <c r="G55" s="34" t="inlineStr">
        <is>
          <t>1.1</t>
        </is>
      </c>
      <c r="H55" s="34" t="inlineStr"/>
      <c r="I55" s="34" t="inlineStr">
        <is>
          <t>Niet gestart</t>
        </is>
      </c>
      <c r="J55" s="37" t="n"/>
      <c r="K55" s="34" t="n"/>
    </row>
    <row r="56">
      <c r="A56" s="34" t="inlineStr">
        <is>
          <t>1.3</t>
        </is>
      </c>
      <c r="B56" s="34" t="inlineStr">
        <is>
          <t>1 · Abonnementen</t>
        </is>
      </c>
      <c r="C56" s="34" t="inlineStr"/>
      <c r="D56" s="35" t="inlineStr">
        <is>
          <t>Kentekens normaliseren en dubbelingen opsporen</t>
        </is>
      </c>
      <c r="E56" s="34" t="inlineStr">
        <is>
          <t>C</t>
        </is>
      </c>
      <c r="F56" s="36" t="n">
        <v>2</v>
      </c>
      <c r="G56" s="34" t="inlineStr">
        <is>
          <t>1.1</t>
        </is>
      </c>
      <c r="H56" s="34" t="inlineStr"/>
      <c r="I56" s="34" t="inlineStr">
        <is>
          <t>Niet gestart</t>
        </is>
      </c>
      <c r="J56" s="37" t="n"/>
      <c r="K56" s="34" t="n"/>
    </row>
    <row r="57">
      <c r="A57" s="34" t="inlineStr">
        <is>
          <t>1.4</t>
        </is>
      </c>
      <c r="B57" s="34" t="inlineStr">
        <is>
          <t>1 · Abonnementen</t>
        </is>
      </c>
      <c r="C57" s="34" t="inlineStr"/>
      <c r="D57" s="35" t="inlineStr">
        <is>
          <t>Ontbrekende gegevens aanvullen (IBAN, machtigingskenmerk, startdatum)</t>
        </is>
      </c>
      <c r="E57" s="34" t="inlineStr">
        <is>
          <t>D3</t>
        </is>
      </c>
      <c r="F57" s="36" t="n">
        <v>8</v>
      </c>
      <c r="G57" s="34" t="inlineStr">
        <is>
          <t>1.3</t>
        </is>
      </c>
      <c r="H57" s="34" t="inlineStr"/>
      <c r="I57" s="34" t="inlineStr">
        <is>
          <t>Niet gestart</t>
        </is>
      </c>
      <c r="J57" s="37" t="n"/>
      <c r="K57" s="34" t="n"/>
    </row>
    <row r="58">
      <c r="A58" s="34" t="inlineStr">
        <is>
          <t>1.5</t>
        </is>
      </c>
      <c r="B58" s="34" t="inlineStr">
        <is>
          <t>1 · Abonnementen</t>
        </is>
      </c>
      <c r="C58" s="34" t="inlineStr"/>
      <c r="D58" s="35" t="inlineStr">
        <is>
          <t>Abonnees invoeren in het relatieregister</t>
        </is>
      </c>
      <c r="E58" s="34" t="inlineStr">
        <is>
          <t>C</t>
        </is>
      </c>
      <c r="F58" s="36" t="n">
        <v>2</v>
      </c>
      <c r="G58" s="34" t="inlineStr">
        <is>
          <t>1.4</t>
        </is>
      </c>
      <c r="H58" s="34" t="inlineStr"/>
      <c r="I58" s="34" t="inlineStr">
        <is>
          <t>Niet gestart</t>
        </is>
      </c>
      <c r="J58" s="37" t="n"/>
      <c r="K58" s="34" t="n"/>
    </row>
    <row r="59">
      <c r="A59" s="34" t="inlineStr">
        <is>
          <t>1.6</t>
        </is>
      </c>
      <c r="B59" s="34" t="inlineStr">
        <is>
          <t>1 · Abonnementen</t>
        </is>
      </c>
      <c r="C59" s="34" t="inlineStr"/>
      <c r="D59" s="35" t="inlineStr">
        <is>
          <t>Abonnementen importeren, gekoppeld aan locatie en relatie</t>
        </is>
      </c>
      <c r="E59" s="34" t="inlineStr">
        <is>
          <t>C</t>
        </is>
      </c>
      <c r="F59" s="36" t="n">
        <v>3</v>
      </c>
      <c r="G59" s="34" t="inlineStr">
        <is>
          <t>1.5</t>
        </is>
      </c>
      <c r="H59" s="34" t="inlineStr"/>
      <c r="I59" s="34" t="inlineStr">
        <is>
          <t>Niet gestart</t>
        </is>
      </c>
      <c r="J59" s="37" t="n"/>
      <c r="K59" s="34" t="n"/>
    </row>
    <row r="60">
      <c r="A60" s="34" t="inlineStr">
        <is>
          <t>1.7</t>
        </is>
      </c>
      <c r="B60" s="34" t="inlineStr">
        <is>
          <t>1 · Abonnementen</t>
        </is>
      </c>
      <c r="C60" s="34" t="inlineStr"/>
      <c r="D60" s="35" t="inlineStr">
        <is>
          <t>Importcontrole: aantallen vergelijken, tien records handmatig naslaan</t>
        </is>
      </c>
      <c r="E60" s="34" t="inlineStr">
        <is>
          <t>D3</t>
        </is>
      </c>
      <c r="F60" s="36" t="n">
        <v>3</v>
      </c>
      <c r="G60" s="34" t="inlineStr">
        <is>
          <t>1.6</t>
        </is>
      </c>
      <c r="H60" s="34" t="inlineStr"/>
      <c r="I60" s="34" t="inlineStr">
        <is>
          <t>Niet gestart</t>
        </is>
      </c>
      <c r="J60" s="37" t="n"/>
      <c r="K60" s="34" t="n"/>
    </row>
    <row r="61">
      <c r="A61" s="34" t="inlineStr">
        <is>
          <t>1.8</t>
        </is>
      </c>
      <c r="B61" s="34" t="inlineStr">
        <is>
          <t>1 · Abonnementen</t>
        </is>
      </c>
      <c r="C61" s="34" t="inlineStr"/>
      <c r="D61" s="35" t="inlineStr">
        <is>
          <t>`capaciteit_abonnement` per locatie invullen en tegen de import controleren</t>
        </is>
      </c>
      <c r="E61" s="34" t="inlineStr">
        <is>
          <t>D2</t>
        </is>
      </c>
      <c r="F61" s="36" t="n">
        <v>2</v>
      </c>
      <c r="G61" s="34" t="inlineStr">
        <is>
          <t>1.6</t>
        </is>
      </c>
      <c r="H61" s="34" t="inlineStr"/>
      <c r="I61" s="34" t="inlineStr">
        <is>
          <t>Niet gestart</t>
        </is>
      </c>
      <c r="J61" s="37" t="n"/>
      <c r="K61" s="34" t="n"/>
    </row>
    <row r="62">
      <c r="A62" s="34" t="inlineStr">
        <is>
          <t>1.9</t>
        </is>
      </c>
      <c r="B62" s="34" t="inlineStr">
        <is>
          <t>1 · Abonnementen</t>
        </is>
      </c>
      <c r="C62" s="34" t="inlineStr"/>
      <c r="D62" s="35" t="inlineStr">
        <is>
          <t>Formulier: nieuw abonnement aanvragen</t>
        </is>
      </c>
      <c r="E62" s="34" t="inlineStr">
        <is>
          <t>C</t>
        </is>
      </c>
      <c r="F62" s="36" t="n">
        <v>3</v>
      </c>
      <c r="G62" s="34" t="inlineStr">
        <is>
          <t>M1</t>
        </is>
      </c>
      <c r="H62" s="34" t="inlineStr"/>
      <c r="I62" s="34" t="inlineStr">
        <is>
          <t>Niet gestart</t>
        </is>
      </c>
      <c r="J62" s="37" t="n"/>
      <c r="K62" s="34" t="n"/>
    </row>
    <row r="63">
      <c r="A63" s="34" t="inlineStr">
        <is>
          <t>1.10</t>
        </is>
      </c>
      <c r="B63" s="34" t="inlineStr">
        <is>
          <t>1 · Abonnementen</t>
        </is>
      </c>
      <c r="C63" s="34" t="inlineStr"/>
      <c r="D63" s="35" t="inlineStr">
        <is>
          <t>Formulier: kenteken wijzigen</t>
        </is>
      </c>
      <c r="E63" s="34" t="inlineStr">
        <is>
          <t>C</t>
        </is>
      </c>
      <c r="F63" s="36" t="n">
        <v>2</v>
      </c>
      <c r="G63" s="34" t="inlineStr">
        <is>
          <t>1.9</t>
        </is>
      </c>
      <c r="H63" s="34" t="inlineStr"/>
      <c r="I63" s="34" t="inlineStr">
        <is>
          <t>Niet gestart</t>
        </is>
      </c>
      <c r="J63" s="37" t="n"/>
      <c r="K63" s="34" t="n"/>
    </row>
    <row r="64">
      <c r="A64" s="34" t="inlineStr">
        <is>
          <t>1.11</t>
        </is>
      </c>
      <c r="B64" s="34" t="inlineStr">
        <is>
          <t>1 · Abonnementen</t>
        </is>
      </c>
      <c r="C64" s="34" t="inlineStr"/>
      <c r="D64" s="35" t="inlineStr">
        <is>
          <t>Formulier: abonnement opzeggen, met opzegreden</t>
        </is>
      </c>
      <c r="E64" s="34" t="inlineStr">
        <is>
          <t>C</t>
        </is>
      </c>
      <c r="F64" s="36" t="n">
        <v>2</v>
      </c>
      <c r="G64" s="34" t="inlineStr">
        <is>
          <t>1.9</t>
        </is>
      </c>
      <c r="H64" s="34" t="inlineStr"/>
      <c r="I64" s="34" t="inlineStr">
        <is>
          <t>Niet gestart</t>
        </is>
      </c>
      <c r="J64" s="37" t="n"/>
      <c r="K64" s="34" t="n"/>
    </row>
    <row r="65">
      <c r="A65" s="34" t="inlineStr">
        <is>
          <t>1.12</t>
        </is>
      </c>
      <c r="B65" s="34" t="inlineStr">
        <is>
          <t>1 · Abonnementen</t>
        </is>
      </c>
      <c r="C65" s="34" t="inlineStr"/>
      <c r="D65" s="35" t="inlineStr">
        <is>
          <t>Weergave: abonnementen per locatie, met vrije plekken</t>
        </is>
      </c>
      <c r="E65" s="34" t="inlineStr">
        <is>
          <t>C</t>
        </is>
      </c>
      <c r="F65" s="36" t="n">
        <v>1</v>
      </c>
      <c r="G65" s="34" t="inlineStr">
        <is>
          <t>1.9</t>
        </is>
      </c>
      <c r="H65" s="34" t="inlineStr"/>
      <c r="I65" s="34" t="inlineStr">
        <is>
          <t>Niet gestart</t>
        </is>
      </c>
      <c r="J65" s="37" t="n"/>
      <c r="K65" s="34" t="n"/>
    </row>
    <row r="66">
      <c r="A66" s="33" t="inlineStr">
        <is>
          <t>1.13</t>
        </is>
      </c>
      <c r="B66" s="34" t="inlineStr">
        <is>
          <t>1 · Abonnementen</t>
        </is>
      </c>
      <c r="C66" s="34" t="inlineStr"/>
      <c r="D66" s="35" t="inlineStr">
        <is>
          <t>Weergave: openstaande kentekenmutaties als dagelijkse werklijst</t>
        </is>
      </c>
      <c r="E66" s="34" t="inlineStr">
        <is>
          <t>C</t>
        </is>
      </c>
      <c r="F66" s="36" t="n">
        <v>1</v>
      </c>
      <c r="G66" s="34" t="inlineStr">
        <is>
          <t>1.10</t>
        </is>
      </c>
      <c r="H66" s="33" t="inlineStr">
        <is>
          <t>M4</t>
        </is>
      </c>
      <c r="I66" s="34" t="inlineStr">
        <is>
          <t>Niet gestart</t>
        </is>
      </c>
      <c r="J66" s="37" t="n"/>
      <c r="K66" s="34" t="n"/>
    </row>
    <row r="67">
      <c r="A67" s="34" t="inlineStr">
        <is>
          <t>1.14</t>
        </is>
      </c>
      <c r="B67" s="34" t="inlineStr">
        <is>
          <t>1 · Abonnementen</t>
        </is>
      </c>
      <c r="C67" s="34" t="inlineStr"/>
      <c r="D67" s="35" t="inlineStr">
        <is>
          <t>Weergave: abonnementen zonder SEPA-akkoord</t>
        </is>
      </c>
      <c r="E67" s="34" t="inlineStr">
        <is>
          <t>C</t>
        </is>
      </c>
      <c r="F67" s="36" t="n">
        <v>1</v>
      </c>
      <c r="G67" s="34" t="inlineStr">
        <is>
          <t>1.6</t>
        </is>
      </c>
      <c r="H67" s="34" t="inlineStr"/>
      <c r="I67" s="34" t="inlineStr">
        <is>
          <t>Niet gestart</t>
        </is>
      </c>
      <c r="J67" s="37" t="n"/>
      <c r="K67" s="34" t="n"/>
    </row>
    <row r="68">
      <c r="A68" s="34" t="inlineStr">
        <is>
          <t>1.15</t>
        </is>
      </c>
      <c r="B68" s="34" t="inlineStr">
        <is>
          <t>1 · Abonnementen</t>
        </is>
      </c>
      <c r="C68" s="34" t="inlineStr"/>
      <c r="D68" s="35" t="inlineStr">
        <is>
          <t>Klantenservice instrueren op de nieuwe formulieren</t>
        </is>
      </c>
      <c r="E68" s="34" t="inlineStr">
        <is>
          <t>R</t>
        </is>
      </c>
      <c r="F68" s="36" t="n">
        <v>3</v>
      </c>
      <c r="G68" s="34" t="inlineStr">
        <is>
          <t>1.9–1.11</t>
        </is>
      </c>
      <c r="H68" s="34" t="inlineStr"/>
      <c r="I68" s="34" t="inlineStr">
        <is>
          <t>Niet gestart</t>
        </is>
      </c>
      <c r="J68" s="37" t="n"/>
      <c r="K68" s="34" t="n"/>
    </row>
    <row r="69">
      <c r="A69" s="34" t="inlineStr">
        <is>
          <t>1.16</t>
        </is>
      </c>
      <c r="B69" s="34" t="inlineStr">
        <is>
          <t>1 · Abonnementen</t>
        </is>
      </c>
      <c r="C69" s="34" t="inlineStr"/>
      <c r="D69" s="35" t="inlineStr">
        <is>
          <t>Twee weken parallel draaien: Excel én datalaag, verschillen noteren</t>
        </is>
      </c>
      <c r="E69" s="34" t="inlineStr">
        <is>
          <t>D3</t>
        </is>
      </c>
      <c r="F69" s="36" t="n">
        <v>4</v>
      </c>
      <c r="G69" s="34" t="inlineStr">
        <is>
          <t>1.15</t>
        </is>
      </c>
      <c r="H69" s="34" t="inlineStr"/>
      <c r="I69" s="34" t="inlineStr">
        <is>
          <t>Niet gestart</t>
        </is>
      </c>
      <c r="J69" s="37" t="n"/>
      <c r="K69" s="34" t="n"/>
    </row>
    <row r="70">
      <c r="A70" s="34" t="inlineStr">
        <is>
          <t>1.17</t>
        </is>
      </c>
      <c r="B70" s="34" t="inlineStr">
        <is>
          <t>1 · Abonnementen</t>
        </is>
      </c>
      <c r="C70" s="34" t="inlineStr"/>
      <c r="D70" s="35" t="inlineStr">
        <is>
          <t>Verschillen uit 1.16 analyseren en oplossen</t>
        </is>
      </c>
      <c r="E70" s="34" t="inlineStr">
        <is>
          <t>C+D3</t>
        </is>
      </c>
      <c r="F70" s="36" t="n">
        <v>3</v>
      </c>
      <c r="G70" s="34" t="inlineStr">
        <is>
          <t>1.16</t>
        </is>
      </c>
      <c r="H70" s="34" t="inlineStr"/>
      <c r="I70" s="34" t="inlineStr">
        <is>
          <t>Niet gestart</t>
        </is>
      </c>
      <c r="J70" s="37" t="n"/>
      <c r="K70" s="34" t="n"/>
    </row>
    <row r="71">
      <c r="A71" s="33" t="inlineStr">
        <is>
          <t>1.18</t>
        </is>
      </c>
      <c r="B71" s="34" t="inlineStr">
        <is>
          <t>1 · Abonnementen</t>
        </is>
      </c>
      <c r="C71" s="34" t="inlineStr"/>
      <c r="D71" s="35" t="inlineStr">
        <is>
          <t>Excel-abonneebestanden op alleen-lezen zetten en archiveren</t>
        </is>
      </c>
      <c r="E71" s="34" t="inlineStr">
        <is>
          <t>D3</t>
        </is>
      </c>
      <c r="F71" s="36" t="n">
        <v>1</v>
      </c>
      <c r="G71" s="34" t="inlineStr">
        <is>
          <t>1.17</t>
        </is>
      </c>
      <c r="H71" s="33" t="inlineStr">
        <is>
          <t>M3</t>
        </is>
      </c>
      <c r="I71" s="34" t="inlineStr">
        <is>
          <t>Niet gestart</t>
        </is>
      </c>
      <c r="J71" s="37" t="n"/>
      <c r="K71" s="34" t="n"/>
    </row>
    <row r="72">
      <c r="A72" s="34" t="inlineStr">
        <is>
          <t>1.19</t>
        </is>
      </c>
      <c r="B72" s="34" t="inlineStr">
        <is>
          <t>1 · Abonnementen</t>
        </is>
      </c>
      <c r="C72" s="34" t="inlineStr"/>
      <c r="D72" s="35" t="inlineStr">
        <is>
          <t>Procedure kentekenwijziging herschrijven naar de nieuwe werkwijze</t>
        </is>
      </c>
      <c r="E72" s="34" t="inlineStr">
        <is>
          <t>D3</t>
        </is>
      </c>
      <c r="F72" s="36" t="n">
        <v>2</v>
      </c>
      <c r="G72" s="34" t="inlineStr">
        <is>
          <t>1.10</t>
        </is>
      </c>
      <c r="H72" s="34" t="inlineStr"/>
      <c r="I72" s="34" t="inlineStr">
        <is>
          <t>Niet gestart</t>
        </is>
      </c>
      <c r="J72" s="37" t="n"/>
      <c r="K72" s="34" t="n"/>
    </row>
    <row r="73">
      <c r="A73" s="34" t="inlineStr">
        <is>
          <t>1.20</t>
        </is>
      </c>
      <c r="B73" s="34" t="inlineStr">
        <is>
          <t>1 · Abonnementen</t>
        </is>
      </c>
      <c r="C73" s="34" t="inlineStr"/>
      <c r="D73" s="35" t="inlineStr">
        <is>
          <t>Procedure abonnementsaanvraag herschrijven</t>
        </is>
      </c>
      <c r="E73" s="34" t="inlineStr">
        <is>
          <t>D3</t>
        </is>
      </c>
      <c r="F73" s="36" t="n">
        <v>2</v>
      </c>
      <c r="G73" s="34" t="inlineStr">
        <is>
          <t>1.9</t>
        </is>
      </c>
      <c r="H73" s="34" t="inlineStr"/>
      <c r="I73" s="34" t="inlineStr">
        <is>
          <t>Niet gestart</t>
        </is>
      </c>
      <c r="J73" s="37" t="n"/>
      <c r="K73" s="34" t="n"/>
    </row>
    <row r="74">
      <c r="A74" s="34" t="inlineStr">
        <is>
          <t>1.21</t>
        </is>
      </c>
      <c r="B74" s="34" t="inlineStr">
        <is>
          <t>1 · Abonnementen</t>
        </is>
      </c>
      <c r="C74" s="34" t="inlineStr"/>
      <c r="D74" s="35" t="inlineStr">
        <is>
          <t>AVG-check: staan er geen kentekens meer buiten de datalaag?</t>
        </is>
      </c>
      <c r="E74" s="34" t="inlineStr">
        <is>
          <t>DIR</t>
        </is>
      </c>
      <c r="F74" s="36" t="n">
        <v>2</v>
      </c>
      <c r="G74" s="34" t="inlineStr">
        <is>
          <t>1.18</t>
        </is>
      </c>
      <c r="H74" s="34" t="inlineStr"/>
      <c r="I74" s="34" t="inlineStr">
        <is>
          <t>Niet gestart</t>
        </is>
      </c>
      <c r="J74" s="37" t="n"/>
      <c r="K74" s="34" t="n"/>
    </row>
    <row r="75">
      <c r="A75" s="34" t="inlineStr">
        <is>
          <t>1.22</t>
        </is>
      </c>
      <c r="B75" s="34" t="inlineStr">
        <is>
          <t>1 · Abonnementen</t>
        </is>
      </c>
      <c r="C75" s="34" t="inlineStr"/>
      <c r="D75" s="35" t="inlineStr">
        <is>
          <t>Eerste zichtbare winst voor D3 opleveren: abonnee-opzoek in seconden</t>
        </is>
      </c>
      <c r="E75" s="34" t="inlineStr">
        <is>
          <t>R</t>
        </is>
      </c>
      <c r="F75" s="36" t="n">
        <v>1</v>
      </c>
      <c r="G75" s="34" t="inlineStr">
        <is>
          <t>1.12</t>
        </is>
      </c>
      <c r="H75" s="34" t="inlineStr"/>
      <c r="I75" s="34" t="inlineStr">
        <is>
          <t>Niet gestart</t>
        </is>
      </c>
      <c r="J75" s="37" t="n"/>
      <c r="K75" s="34" t="n"/>
    </row>
    <row r="76">
      <c r="A76" s="38" t="inlineStr">
        <is>
          <t>2.1</t>
        </is>
      </c>
      <c r="B76" s="38" t="inlineStr">
        <is>
          <t>2 · Eerste koppeling</t>
        </is>
      </c>
      <c r="C76" s="38" t="inlineStr"/>
      <c r="D76" s="39" t="inlineStr">
        <is>
          <t>Pilotplatform kiezen: het systeem met de meeste locaties dat antwoord heeft gegeven</t>
        </is>
      </c>
      <c r="E76" s="38" t="inlineStr">
        <is>
          <t>R</t>
        </is>
      </c>
      <c r="F76" s="40" t="n">
        <v>1</v>
      </c>
      <c r="G76" s="38" t="inlineStr">
        <is>
          <t>0.33, M0</t>
        </is>
      </c>
      <c r="H76" s="38" t="inlineStr"/>
      <c r="I76" s="38" t="inlineStr">
        <is>
          <t>Niet gestart</t>
        </is>
      </c>
      <c r="J76" s="41" t="n"/>
      <c r="K76" s="38" t="n"/>
    </row>
    <row r="77">
      <c r="A77" s="38" t="inlineStr">
        <is>
          <t>2.2</t>
        </is>
      </c>
      <c r="B77" s="38" t="inlineStr">
        <is>
          <t>2 · Eerste koppeling</t>
        </is>
      </c>
      <c r="C77" s="38" t="inlineStr"/>
      <c r="D77" s="39" t="inlineStr">
        <is>
          <t>Koppeldocumentatie van de leverancier doornemen</t>
        </is>
      </c>
      <c r="E77" s="38" t="inlineStr">
        <is>
          <t>C</t>
        </is>
      </c>
      <c r="F77" s="40" t="n">
        <v>3</v>
      </c>
      <c r="G77" s="38" t="inlineStr">
        <is>
          <t>2.1</t>
        </is>
      </c>
      <c r="H77" s="38" t="inlineStr"/>
      <c r="I77" s="38" t="inlineStr">
        <is>
          <t>Niet gestart</t>
        </is>
      </c>
      <c r="J77" s="41" t="n"/>
      <c r="K77" s="38" t="n"/>
    </row>
    <row r="78">
      <c r="A78" s="38" t="inlineStr">
        <is>
          <t>2.3</t>
        </is>
      </c>
      <c r="B78" s="38" t="inlineStr">
        <is>
          <t>2 · Eerste koppeling</t>
        </is>
      </c>
      <c r="C78" s="38" t="inlineStr"/>
      <c r="D78" s="39" t="inlineStr">
        <is>
          <t>Testtoegang aanvragen en verkrijgen</t>
        </is>
      </c>
      <c r="E78" s="38" t="inlineStr">
        <is>
          <t>R</t>
        </is>
      </c>
      <c r="F78" s="40" t="n">
        <v>2</v>
      </c>
      <c r="G78" s="38" t="inlineStr">
        <is>
          <t>2.1</t>
        </is>
      </c>
      <c r="H78" s="38" t="inlineStr"/>
      <c r="I78" s="38" t="inlineStr">
        <is>
          <t>Niet gestart</t>
        </is>
      </c>
      <c r="J78" s="41" t="n"/>
      <c r="K78" s="38" t="n"/>
    </row>
    <row r="79">
      <c r="A79" s="38" t="inlineStr">
        <is>
          <t>2.4</t>
        </is>
      </c>
      <c r="B79" s="38" t="inlineStr">
        <is>
          <t>2 · Eerste koppeling</t>
        </is>
      </c>
      <c r="C79" s="38" t="inlineStr"/>
      <c r="D79" s="39" t="inlineStr">
        <is>
          <t>Externe locatie-ID's vastleggen in `systeem_historie`</t>
        </is>
      </c>
      <c r="E79" s="38" t="inlineStr">
        <is>
          <t>D2</t>
        </is>
      </c>
      <c r="F79" s="40" t="n">
        <v>2</v>
      </c>
      <c r="G79" s="38" t="inlineStr">
        <is>
          <t>2.3</t>
        </is>
      </c>
      <c r="H79" s="38" t="inlineStr"/>
      <c r="I79" s="38" t="inlineStr">
        <is>
          <t>Niet gestart</t>
        </is>
      </c>
      <c r="J79" s="41" t="n"/>
      <c r="K79" s="38" t="n"/>
    </row>
    <row r="80">
      <c r="A80" s="38" t="inlineStr">
        <is>
          <t>2.5</t>
        </is>
      </c>
      <c r="B80" s="38" t="inlineStr">
        <is>
          <t>2 · Eerste koppeling</t>
        </is>
      </c>
      <c r="C80" s="38" t="inlineStr"/>
      <c r="D80" s="39" t="inlineStr">
        <is>
          <t>Connector bouwen: omzet per locatie per dag ophalen</t>
        </is>
      </c>
      <c r="E80" s="38" t="inlineStr">
        <is>
          <t>C</t>
        </is>
      </c>
      <c r="F80" s="40" t="n">
        <v>8</v>
      </c>
      <c r="G80" s="38" t="inlineStr">
        <is>
          <t>2.3, 2.4</t>
        </is>
      </c>
      <c r="H80" s="38" t="inlineStr"/>
      <c r="I80" s="38" t="inlineStr">
        <is>
          <t>Niet gestart</t>
        </is>
      </c>
      <c r="J80" s="41" t="n"/>
      <c r="K80" s="38" t="n"/>
    </row>
    <row r="81">
      <c r="A81" s="38" t="inlineStr">
        <is>
          <t>2.6</t>
        </is>
      </c>
      <c r="B81" s="38" t="inlineStr">
        <is>
          <t>2 · Eerste koppeling</t>
        </is>
      </c>
      <c r="C81" s="38" t="inlineStr"/>
      <c r="D81" s="39" t="inlineStr">
        <is>
          <t>Connector bouwen: bezettingsgegevens ophalen</t>
        </is>
      </c>
      <c r="E81" s="38" t="inlineStr">
        <is>
          <t>C</t>
        </is>
      </c>
      <c r="F81" s="40" t="n">
        <v>4</v>
      </c>
      <c r="G81" s="38" t="inlineStr">
        <is>
          <t>2.5</t>
        </is>
      </c>
      <c r="H81" s="38" t="inlineStr"/>
      <c r="I81" s="38" t="inlineStr">
        <is>
          <t>Niet gestart</t>
        </is>
      </c>
      <c r="J81" s="41" t="n"/>
      <c r="K81" s="38" t="n"/>
    </row>
    <row r="82">
      <c r="A82" s="38" t="inlineStr">
        <is>
          <t>2.7</t>
        </is>
      </c>
      <c r="B82" s="38" t="inlineStr">
        <is>
          <t>2 · Eerste koppeling</t>
        </is>
      </c>
      <c r="C82" s="38" t="inlineStr"/>
      <c r="D82" s="39" t="inlineStr">
        <is>
          <t>Foutafhandeling en logging naar `koppeling_run`</t>
        </is>
      </c>
      <c r="E82" s="38" t="inlineStr">
        <is>
          <t>C</t>
        </is>
      </c>
      <c r="F82" s="40" t="n">
        <v>3</v>
      </c>
      <c r="G82" s="38" t="inlineStr">
        <is>
          <t>2.5</t>
        </is>
      </c>
      <c r="H82" s="38" t="inlineStr"/>
      <c r="I82" s="38" t="inlineStr">
        <is>
          <t>Niet gestart</t>
        </is>
      </c>
      <c r="J82" s="41" t="n"/>
      <c r="K82" s="38" t="n"/>
    </row>
    <row r="83">
      <c r="A83" s="38" t="inlineStr">
        <is>
          <t>2.8</t>
        </is>
      </c>
      <c r="B83" s="38" t="inlineStr">
        <is>
          <t>2 · Eerste koppeling</t>
        </is>
      </c>
      <c r="C83" s="38" t="inlineStr"/>
      <c r="D83" s="39" t="inlineStr">
        <is>
          <t>Idempotentie testen: dezelfde dag twee keer importeren mag niet verdubbelen</t>
        </is>
      </c>
      <c r="E83" s="38" t="inlineStr">
        <is>
          <t>C</t>
        </is>
      </c>
      <c r="F83" s="40" t="n">
        <v>2</v>
      </c>
      <c r="G83" s="38" t="inlineStr">
        <is>
          <t>2.5</t>
        </is>
      </c>
      <c r="H83" s="38" t="inlineStr"/>
      <c r="I83" s="38" t="inlineStr">
        <is>
          <t>Niet gestart</t>
        </is>
      </c>
      <c r="J83" s="41" t="n"/>
      <c r="K83" s="38" t="n"/>
    </row>
    <row r="84">
      <c r="A84" s="38" t="inlineStr">
        <is>
          <t>2.9</t>
        </is>
      </c>
      <c r="B84" s="38" t="inlineStr">
        <is>
          <t>2 · Eerste koppeling</t>
        </is>
      </c>
      <c r="C84" s="38" t="inlineStr"/>
      <c r="D84" s="39" t="inlineStr">
        <is>
          <t>Historische data inlezen: minimaal 12 maanden terug</t>
        </is>
      </c>
      <c r="E84" s="38" t="inlineStr">
        <is>
          <t>C</t>
        </is>
      </c>
      <c r="F84" s="40" t="n">
        <v>4</v>
      </c>
      <c r="G84" s="38" t="inlineStr">
        <is>
          <t>2.8</t>
        </is>
      </c>
      <c r="H84" s="38" t="inlineStr"/>
      <c r="I84" s="38" t="inlineStr">
        <is>
          <t>Niet gestart</t>
        </is>
      </c>
      <c r="J84" s="41" t="n"/>
      <c r="K84" s="38" t="n"/>
    </row>
    <row r="85">
      <c r="A85" s="38" t="inlineStr">
        <is>
          <t>2.10</t>
        </is>
      </c>
      <c r="B85" s="38" t="inlineStr">
        <is>
          <t>2 · Eerste koppeling</t>
        </is>
      </c>
      <c r="C85" s="38" t="inlineStr"/>
      <c r="D85" s="39" t="inlineStr">
        <is>
          <t>Reconciliatie: totalen vergelijken met het leveranciersportaal, per maand</t>
        </is>
      </c>
      <c r="E85" s="38" t="inlineStr">
        <is>
          <t>D1</t>
        </is>
      </c>
      <c r="F85" s="40" t="n">
        <v>4</v>
      </c>
      <c r="G85" s="38" t="inlineStr">
        <is>
          <t>2.9</t>
        </is>
      </c>
      <c r="H85" s="38" t="inlineStr"/>
      <c r="I85" s="38" t="inlineStr">
        <is>
          <t>Niet gestart</t>
        </is>
      </c>
      <c r="J85" s="41" t="n"/>
      <c r="K85" s="38" t="n"/>
    </row>
    <row r="86">
      <c r="A86" s="38" t="inlineStr">
        <is>
          <t>2.11</t>
        </is>
      </c>
      <c r="B86" s="38" t="inlineStr">
        <is>
          <t>2 · Eerste koppeling</t>
        </is>
      </c>
      <c r="C86" s="38" t="inlineStr"/>
      <c r="D86" s="39" t="inlineStr">
        <is>
          <t>Afwijkingen uit 2.10 verklaren en documenteren</t>
        </is>
      </c>
      <c r="E86" s="38" t="inlineStr">
        <is>
          <t>C+D1</t>
        </is>
      </c>
      <c r="F86" s="40" t="n">
        <v>4</v>
      </c>
      <c r="G86" s="38" t="inlineStr">
        <is>
          <t>2.10</t>
        </is>
      </c>
      <c r="H86" s="38" t="inlineStr"/>
      <c r="I86" s="38" t="inlineStr">
        <is>
          <t>Niet gestart</t>
        </is>
      </c>
      <c r="J86" s="41" t="n"/>
      <c r="K86" s="38" t="n"/>
    </row>
    <row r="87">
      <c r="A87" s="38" t="inlineStr">
        <is>
          <t>2.12</t>
        </is>
      </c>
      <c r="B87" s="38" t="inlineStr">
        <is>
          <t>2 · Eerste koppeling</t>
        </is>
      </c>
      <c r="C87" s="38" t="inlineStr"/>
      <c r="D87" s="39" t="inlineStr">
        <is>
          <t>Planning instellen via `pg_cron`, dagelijks 06:00</t>
        </is>
      </c>
      <c r="E87" s="38" t="inlineStr">
        <is>
          <t>C</t>
        </is>
      </c>
      <c r="F87" s="40" t="n">
        <v>1</v>
      </c>
      <c r="G87" s="38" t="inlineStr">
        <is>
          <t>2.11</t>
        </is>
      </c>
      <c r="H87" s="38" t="inlineStr"/>
      <c r="I87" s="38" t="inlineStr">
        <is>
          <t>Niet gestart</t>
        </is>
      </c>
      <c r="J87" s="41" t="n"/>
      <c r="K87" s="38" t="n"/>
    </row>
    <row r="88">
      <c r="A88" s="38" t="inlineStr">
        <is>
          <t>2.13</t>
        </is>
      </c>
      <c r="B88" s="38" t="inlineStr">
        <is>
          <t>2 · Eerste koppeling</t>
        </is>
      </c>
      <c r="C88" s="38" t="inlineStr"/>
      <c r="D88" s="39" t="inlineStr">
        <is>
          <t>Alarmering bij een mislukte of uitgebleven run</t>
        </is>
      </c>
      <c r="E88" s="38" t="inlineStr">
        <is>
          <t>C</t>
        </is>
      </c>
      <c r="F88" s="40" t="n">
        <v>3</v>
      </c>
      <c r="G88" s="38" t="inlineStr">
        <is>
          <t>2.12</t>
        </is>
      </c>
      <c r="H88" s="38" t="inlineStr"/>
      <c r="I88" s="38" t="inlineStr">
        <is>
          <t>Niet gestart</t>
        </is>
      </c>
      <c r="J88" s="41" t="n"/>
      <c r="K88" s="38" t="n"/>
    </row>
    <row r="89">
      <c r="A89" s="33" t="inlineStr">
        <is>
          <t>2.14</t>
        </is>
      </c>
      <c r="B89" s="38" t="inlineStr">
        <is>
          <t>2 · Eerste koppeling</t>
        </is>
      </c>
      <c r="C89" s="38" t="inlineStr"/>
      <c r="D89" s="39" t="inlineStr">
        <is>
          <t>Connector Registry bijwerken: status actief, frequentie, eigenaar</t>
        </is>
      </c>
      <c r="E89" s="38" t="inlineStr">
        <is>
          <t>R</t>
        </is>
      </c>
      <c r="F89" s="40" t="n">
        <v>0.5</v>
      </c>
      <c r="G89" s="38" t="inlineStr">
        <is>
          <t>2.12</t>
        </is>
      </c>
      <c r="H89" s="33" t="inlineStr">
        <is>
          <t>M5</t>
        </is>
      </c>
      <c r="I89" s="38" t="inlineStr">
        <is>
          <t>Niet gestart</t>
        </is>
      </c>
      <c r="J89" s="41" t="n"/>
      <c r="K89" s="38" t="n"/>
    </row>
    <row r="90">
      <c r="A90" s="38" t="inlineStr">
        <is>
          <t>2.15</t>
        </is>
      </c>
      <c r="B90" s="38" t="inlineStr">
        <is>
          <t>2 · Eerste koppeling</t>
        </is>
      </c>
      <c r="C90" s="38" t="inlineStr"/>
      <c r="D90" s="39" t="inlineStr">
        <is>
          <t>Prognoses per locatie vaststellen of opstellen</t>
        </is>
      </c>
      <c r="E90" s="38" t="inlineStr">
        <is>
          <t>D1</t>
        </is>
      </c>
      <c r="F90" s="40" t="n">
        <v>6</v>
      </c>
      <c r="G90" s="38" t="inlineStr">
        <is>
          <t>0.32</t>
        </is>
      </c>
      <c r="H90" s="38" t="inlineStr"/>
      <c r="I90" s="38" t="inlineStr">
        <is>
          <t>Niet gestart</t>
        </is>
      </c>
      <c r="J90" s="41" t="n"/>
      <c r="K90" s="38" t="n"/>
    </row>
    <row r="91">
      <c r="A91" s="38" t="inlineStr">
        <is>
          <t>2.16</t>
        </is>
      </c>
      <c r="B91" s="38" t="inlineStr">
        <is>
          <t>2 · Eerste koppeling</t>
        </is>
      </c>
      <c r="C91" s="38" t="inlineStr"/>
      <c r="D91" s="39" t="inlineStr">
        <is>
          <t>Prognoses invoeren in de datalaag</t>
        </is>
      </c>
      <c r="E91" s="38" t="inlineStr">
        <is>
          <t>D1</t>
        </is>
      </c>
      <c r="F91" s="40" t="n">
        <v>2</v>
      </c>
      <c r="G91" s="38" t="inlineStr">
        <is>
          <t>2.15</t>
        </is>
      </c>
      <c r="H91" s="38" t="inlineStr"/>
      <c r="I91" s="38" t="inlineStr">
        <is>
          <t>Niet gestart</t>
        </is>
      </c>
      <c r="J91" s="41" t="n"/>
      <c r="K91" s="38" t="n"/>
    </row>
    <row r="92">
      <c r="A92" s="38" t="inlineStr">
        <is>
          <t>2.17</t>
        </is>
      </c>
      <c r="B92" s="38" t="inlineStr">
        <is>
          <t>2 · Eerste koppeling</t>
        </is>
      </c>
      <c r="C92" s="38" t="inlineStr"/>
      <c r="D92" s="39" t="inlineStr">
        <is>
          <t>Boekingsregel toepassen: abonnementsomzet per dag, niet per maand</t>
        </is>
      </c>
      <c r="E92" s="38" t="inlineStr">
        <is>
          <t>C+D1</t>
        </is>
      </c>
      <c r="F92" s="40" t="n">
        <v>2</v>
      </c>
      <c r="G92" s="38" t="inlineStr">
        <is>
          <t>2.9</t>
        </is>
      </c>
      <c r="H92" s="38" t="inlineStr"/>
      <c r="I92" s="38" t="inlineStr">
        <is>
          <t>Niet gestart</t>
        </is>
      </c>
      <c r="J92" s="41" t="n"/>
      <c r="K92" s="38" t="n"/>
    </row>
    <row r="93">
      <c r="A93" s="38" t="inlineStr">
        <is>
          <t>2.18</t>
        </is>
      </c>
      <c r="B93" s="38" t="inlineStr">
        <is>
          <t>2 · Eerste koppeling</t>
        </is>
      </c>
      <c r="C93" s="38" t="inlineStr"/>
      <c r="D93" s="39" t="inlineStr">
        <is>
          <t>Dashboard bouwen op `v_locatie_dashboard`</t>
        </is>
      </c>
      <c r="E93" s="38" t="inlineStr">
        <is>
          <t>C</t>
        </is>
      </c>
      <c r="F93" s="40" t="n">
        <v>6</v>
      </c>
      <c r="G93" s="38" t="inlineStr">
        <is>
          <t>2.12</t>
        </is>
      </c>
      <c r="H93" s="38" t="inlineStr"/>
      <c r="I93" s="38" t="inlineStr">
        <is>
          <t>Niet gestart</t>
        </is>
      </c>
      <c r="J93" s="41" t="n"/>
      <c r="K93" s="38" t="n"/>
    </row>
    <row r="94">
      <c r="A94" s="38" t="inlineStr">
        <is>
          <t>2.19</t>
        </is>
      </c>
      <c r="B94" s="38" t="inlineStr">
        <is>
          <t>2 · Eerste koppeling</t>
        </is>
      </c>
      <c r="C94" s="38" t="inlineStr"/>
      <c r="D94" s="39" t="inlineStr">
        <is>
          <t>Dashboard: overzicht alle locaties, sorteerbaar op afwijking</t>
        </is>
      </c>
      <c r="E94" s="38" t="inlineStr">
        <is>
          <t>C</t>
        </is>
      </c>
      <c r="F94" s="40" t="n">
        <v>3</v>
      </c>
      <c r="G94" s="38" t="inlineStr">
        <is>
          <t>2.18</t>
        </is>
      </c>
      <c r="H94" s="38" t="inlineStr"/>
      <c r="I94" s="38" t="inlineStr">
        <is>
          <t>Niet gestart</t>
        </is>
      </c>
      <c r="J94" s="41" t="n"/>
      <c r="K94" s="38" t="n"/>
    </row>
    <row r="95">
      <c r="A95" s="38" t="inlineStr">
        <is>
          <t>2.20</t>
        </is>
      </c>
      <c r="B95" s="38" t="inlineStr">
        <is>
          <t>2 · Eerste koppeling</t>
        </is>
      </c>
      <c r="C95" s="38" t="inlineStr"/>
      <c r="D95" s="39" t="inlineStr">
        <is>
          <t>Dashboard: detailweergave per locatie</t>
        </is>
      </c>
      <c r="E95" s="38" t="inlineStr">
        <is>
          <t>C</t>
        </is>
      </c>
      <c r="F95" s="40" t="n">
        <v>3</v>
      </c>
      <c r="G95" s="38" t="inlineStr">
        <is>
          <t>2.18</t>
        </is>
      </c>
      <c r="H95" s="38" t="inlineStr"/>
      <c r="I95" s="38" t="inlineStr">
        <is>
          <t>Niet gestart</t>
        </is>
      </c>
      <c r="J95" s="41" t="n"/>
      <c r="K95" s="38" t="n"/>
    </row>
    <row r="96">
      <c r="A96" s="38" t="inlineStr">
        <is>
          <t>2.21</t>
        </is>
      </c>
      <c r="B96" s="38" t="inlineStr">
        <is>
          <t>2 · Eerste koppeling</t>
        </is>
      </c>
      <c r="C96" s="38" t="inlineStr"/>
      <c r="D96" s="39" t="inlineStr">
        <is>
          <t>Toegang tot het dashboard regelen per rol</t>
        </is>
      </c>
      <c r="E96" s="38" t="inlineStr">
        <is>
          <t>R</t>
        </is>
      </c>
      <c r="F96" s="40" t="n">
        <v>1</v>
      </c>
      <c r="G96" s="38" t="inlineStr">
        <is>
          <t>2.18</t>
        </is>
      </c>
      <c r="H96" s="38" t="inlineStr"/>
      <c r="I96" s="38" t="inlineStr">
        <is>
          <t>Niet gestart</t>
        </is>
      </c>
      <c r="J96" s="41" t="n"/>
      <c r="K96" s="38" t="n"/>
    </row>
    <row r="97">
      <c r="A97" s="38" t="inlineStr">
        <is>
          <t>2.22</t>
        </is>
      </c>
      <c r="B97" s="38" t="inlineStr">
        <is>
          <t>2 · Eerste koppeling</t>
        </is>
      </c>
      <c r="C97" s="38" t="inlineStr"/>
      <c r="D97" s="39" t="inlineStr">
        <is>
          <t>Signaaldrempels toetsen op echte data en zo nodig bijstellen</t>
        </is>
      </c>
      <c r="E97" s="38" t="inlineStr">
        <is>
          <t>C+D1</t>
        </is>
      </c>
      <c r="F97" s="40" t="n">
        <v>2</v>
      </c>
      <c r="G97" s="38" t="inlineStr">
        <is>
          <t>2.19</t>
        </is>
      </c>
      <c r="H97" s="38" t="inlineStr"/>
      <c r="I97" s="38" t="inlineStr">
        <is>
          <t>Niet gestart</t>
        </is>
      </c>
      <c r="J97" s="41" t="n"/>
      <c r="K97" s="38" t="n"/>
    </row>
    <row r="98">
      <c r="A98" s="33" t="inlineStr">
        <is>
          <t>2.23</t>
        </is>
      </c>
      <c r="B98" s="38" t="inlineStr">
        <is>
          <t>2 · Eerste koppeling</t>
        </is>
      </c>
      <c r="C98" s="38" t="inlineStr"/>
      <c r="D98" s="39" t="inlineStr">
        <is>
          <t>Team-demo van het dashboard</t>
        </is>
      </c>
      <c r="E98" s="38" t="inlineStr">
        <is>
          <t>R</t>
        </is>
      </c>
      <c r="F98" s="40" t="n">
        <v>2</v>
      </c>
      <c r="G98" s="38" t="inlineStr">
        <is>
          <t>2.21</t>
        </is>
      </c>
      <c r="H98" s="33" t="inlineStr">
        <is>
          <t>M6</t>
        </is>
      </c>
      <c r="I98" s="38" t="inlineStr">
        <is>
          <t>Niet gestart</t>
        </is>
      </c>
      <c r="J98" s="41" t="n"/>
      <c r="K98" s="38" t="n"/>
    </row>
    <row r="99">
      <c r="A99" s="38" t="inlineStr">
        <is>
          <t>2.24</t>
        </is>
      </c>
      <c r="B99" s="38" t="inlineStr">
        <is>
          <t>2 · Eerste koppeling</t>
        </is>
      </c>
      <c r="C99" s="38" t="inlineStr"/>
      <c r="D99" s="39" t="inlineStr">
        <is>
          <t>Eerste zichtbare winst voor D1 en D2: cijfers per locatie zonder handwerk</t>
        </is>
      </c>
      <c r="E99" s="38" t="inlineStr">
        <is>
          <t>R</t>
        </is>
      </c>
      <c r="F99" s="40" t="n">
        <v>1</v>
      </c>
      <c r="G99" s="38" t="inlineStr">
        <is>
          <t>2.23</t>
        </is>
      </c>
      <c r="H99" s="38" t="inlineStr"/>
      <c r="I99" s="38" t="inlineStr">
        <is>
          <t>Niet gestart</t>
        </is>
      </c>
      <c r="J99" s="41" t="n"/>
      <c r="K99" s="38" t="n"/>
    </row>
    <row r="100">
      <c r="A100" s="38" t="inlineStr">
        <is>
          <t>2.25</t>
        </is>
      </c>
      <c r="B100" s="38" t="inlineStr">
        <is>
          <t>2 · Eerste koppeling</t>
        </is>
      </c>
      <c r="C100" s="38" t="inlineStr"/>
      <c r="D100" s="39" t="inlineStr">
        <is>
          <t>Doorlooptijd en kosten van deze koppeling vastleggen als raming voor de rest</t>
        </is>
      </c>
      <c r="E100" s="38" t="inlineStr">
        <is>
          <t>R</t>
        </is>
      </c>
      <c r="F100" s="40" t="n">
        <v>1</v>
      </c>
      <c r="G100" s="38" t="inlineStr">
        <is>
          <t>2.14</t>
        </is>
      </c>
      <c r="H100" s="38" t="inlineStr"/>
      <c r="I100" s="38" t="inlineStr">
        <is>
          <t>Niet gestart</t>
        </is>
      </c>
      <c r="J100" s="41" t="n"/>
      <c r="K100" s="38" t="n"/>
    </row>
    <row r="101">
      <c r="A101" s="42" t="inlineStr">
        <is>
          <t>3.1</t>
        </is>
      </c>
      <c r="B101" s="42" t="inlineStr">
        <is>
          <t>3 · Uitrollen</t>
        </is>
      </c>
      <c r="C101" s="42" t="inlineStr"/>
      <c r="D101" s="43" t="inlineStr">
        <is>
          <t>Tweede parkeersysteem koppelen (patroon uit fase 2 hergebruiken)</t>
        </is>
      </c>
      <c r="E101" s="42" t="inlineStr">
        <is>
          <t>C</t>
        </is>
      </c>
      <c r="F101" s="44" t="n">
        <v>10</v>
      </c>
      <c r="G101" s="42" t="inlineStr">
        <is>
          <t>M5</t>
        </is>
      </c>
      <c r="H101" s="42" t="inlineStr"/>
      <c r="I101" s="42" t="inlineStr">
        <is>
          <t>Niet gestart</t>
        </is>
      </c>
      <c r="J101" s="45" t="n"/>
      <c r="K101" s="42" t="n"/>
    </row>
    <row r="102">
      <c r="A102" s="42" t="inlineStr">
        <is>
          <t>3.2</t>
        </is>
      </c>
      <c r="B102" s="42" t="inlineStr">
        <is>
          <t>3 · Uitrollen</t>
        </is>
      </c>
      <c r="C102" s="42" t="inlineStr"/>
      <c r="D102" s="43" t="inlineStr">
        <is>
          <t>Reconciliatie tweede systeem</t>
        </is>
      </c>
      <c r="E102" s="42" t="inlineStr">
        <is>
          <t>D1</t>
        </is>
      </c>
      <c r="F102" s="44" t="n">
        <v>3</v>
      </c>
      <c r="G102" s="42" t="inlineStr">
        <is>
          <t>3.1</t>
        </is>
      </c>
      <c r="H102" s="42" t="inlineStr"/>
      <c r="I102" s="42" t="inlineStr">
        <is>
          <t>Niet gestart</t>
        </is>
      </c>
      <c r="J102" s="45" t="n"/>
      <c r="K102" s="42" t="n"/>
    </row>
    <row r="103">
      <c r="A103" s="42" t="inlineStr">
        <is>
          <t>3.3</t>
        </is>
      </c>
      <c r="B103" s="42" t="inlineStr">
        <is>
          <t>3 · Uitrollen</t>
        </is>
      </c>
      <c r="C103" s="42" t="inlineStr"/>
      <c r="D103" s="43" t="inlineStr">
        <is>
          <t>Derde parkeersysteem koppelen</t>
        </is>
      </c>
      <c r="E103" s="42" t="inlineStr">
        <is>
          <t>C</t>
        </is>
      </c>
      <c r="F103" s="44" t="n">
        <v>10</v>
      </c>
      <c r="G103" s="42" t="inlineStr">
        <is>
          <t>3.2</t>
        </is>
      </c>
      <c r="H103" s="42" t="inlineStr"/>
      <c r="I103" s="42" t="inlineStr">
        <is>
          <t>Niet gestart</t>
        </is>
      </c>
      <c r="J103" s="45" t="n"/>
      <c r="K103" s="42" t="n"/>
    </row>
    <row r="104">
      <c r="A104" s="42" t="inlineStr">
        <is>
          <t>3.4</t>
        </is>
      </c>
      <c r="B104" s="42" t="inlineStr">
        <is>
          <t>3 · Uitrollen</t>
        </is>
      </c>
      <c r="C104" s="42" t="inlineStr"/>
      <c r="D104" s="43" t="inlineStr">
        <is>
          <t>Reconciliatie derde systeem</t>
        </is>
      </c>
      <c r="E104" s="42" t="inlineStr">
        <is>
          <t>D1</t>
        </is>
      </c>
      <c r="F104" s="44" t="n">
        <v>3</v>
      </c>
      <c r="G104" s="42" t="inlineStr">
        <is>
          <t>3.3</t>
        </is>
      </c>
      <c r="H104" s="42" t="inlineStr"/>
      <c r="I104" s="42" t="inlineStr">
        <is>
          <t>Niet gestart</t>
        </is>
      </c>
      <c r="J104" s="45" t="n"/>
      <c r="K104" s="42" t="n"/>
    </row>
    <row r="105">
      <c r="A105" s="42" t="inlineStr">
        <is>
          <t>3.5</t>
        </is>
      </c>
      <c r="B105" s="42" t="inlineStr">
        <is>
          <t>3 · Uitrollen</t>
        </is>
      </c>
      <c r="C105" s="42" t="inlineStr"/>
      <c r="D105" s="43" t="inlineStr">
        <is>
          <t>Aeroparker koppelen: reserveringen en reserveringsomzet</t>
        </is>
      </c>
      <c r="E105" s="42" t="inlineStr">
        <is>
          <t>C</t>
        </is>
      </c>
      <c r="F105" s="44" t="n">
        <v>8</v>
      </c>
      <c r="G105" s="42" t="inlineStr">
        <is>
          <t>M5</t>
        </is>
      </c>
      <c r="H105" s="42" t="inlineStr"/>
      <c r="I105" s="42" t="inlineStr">
        <is>
          <t>Niet gestart</t>
        </is>
      </c>
      <c r="J105" s="45" t="n"/>
      <c r="K105" s="42" t="n"/>
    </row>
    <row r="106">
      <c r="A106" s="42" t="inlineStr">
        <is>
          <t>3.6</t>
        </is>
      </c>
      <c r="B106" s="42" t="inlineStr">
        <is>
          <t>3 · Uitrollen</t>
        </is>
      </c>
      <c r="C106" s="42" t="inlineStr"/>
      <c r="D106" s="43" t="inlineStr">
        <is>
          <t>Reconciliatie Aeroparker</t>
        </is>
      </c>
      <c r="E106" s="42" t="inlineStr">
        <is>
          <t>D1</t>
        </is>
      </c>
      <c r="F106" s="44" t="n">
        <v>3</v>
      </c>
      <c r="G106" s="42" t="inlineStr">
        <is>
          <t>3.5</t>
        </is>
      </c>
      <c r="H106" s="42" t="inlineStr"/>
      <c r="I106" s="42" t="inlineStr">
        <is>
          <t>Niet gestart</t>
        </is>
      </c>
      <c r="J106" s="45" t="n"/>
      <c r="K106" s="42" t="n"/>
    </row>
    <row r="107">
      <c r="A107" s="42" t="inlineStr">
        <is>
          <t>3.7</t>
        </is>
      </c>
      <c r="B107" s="42" t="inlineStr">
        <is>
          <t>3 · Uitrollen</t>
        </is>
      </c>
      <c r="C107" s="42" t="inlineStr"/>
      <c r="D107" s="43" t="inlineStr">
        <is>
          <t>Controle: elke exploitatielocatie levert data over de laatste 7 dagen</t>
        </is>
      </c>
      <c r="E107" s="42" t="inlineStr">
        <is>
          <t>C</t>
        </is>
      </c>
      <c r="F107" s="44" t="n">
        <v>2</v>
      </c>
      <c r="G107" s="42" t="inlineStr">
        <is>
          <t>3.4, 3.6</t>
        </is>
      </c>
      <c r="H107" s="42" t="inlineStr"/>
      <c r="I107" s="42" t="inlineStr">
        <is>
          <t>Niet gestart</t>
        </is>
      </c>
      <c r="J107" s="45" t="n"/>
      <c r="K107" s="42" t="n"/>
    </row>
    <row r="108">
      <c r="A108" s="33" t="inlineStr">
        <is>
          <t>3.8</t>
        </is>
      </c>
      <c r="B108" s="42" t="inlineStr">
        <is>
          <t>3 · Uitrollen</t>
        </is>
      </c>
      <c r="C108" s="42" t="inlineStr"/>
      <c r="D108" s="43" t="inlineStr">
        <is>
          <t>Gaten uit 3.7 oplossen</t>
        </is>
      </c>
      <c r="E108" s="42" t="inlineStr">
        <is>
          <t>C</t>
        </is>
      </c>
      <c r="F108" s="44" t="n">
        <v>6</v>
      </c>
      <c r="G108" s="42" t="inlineStr">
        <is>
          <t>3.7</t>
        </is>
      </c>
      <c r="H108" s="33" t="inlineStr">
        <is>
          <t>M7</t>
        </is>
      </c>
      <c r="I108" s="42" t="inlineStr">
        <is>
          <t>Niet gestart</t>
        </is>
      </c>
      <c r="J108" s="45" t="n"/>
      <c r="K108" s="42" t="n"/>
    </row>
    <row r="109">
      <c r="A109" s="42" t="inlineStr">
        <is>
          <t>3.9</t>
        </is>
      </c>
      <c r="B109" s="42" t="inlineStr">
        <is>
          <t>3 · Uitrollen</t>
        </is>
      </c>
      <c r="C109" s="42" t="inlineStr"/>
      <c r="D109" s="43" t="inlineStr">
        <is>
          <t>Storingsmeldingen uit de parkeersystemen naar `storing` doorzetten</t>
        </is>
      </c>
      <c r="E109" s="42" t="inlineStr">
        <is>
          <t>C</t>
        </is>
      </c>
      <c r="F109" s="44" t="n">
        <v>8</v>
      </c>
      <c r="G109" s="42" t="inlineStr">
        <is>
          <t>3.4</t>
        </is>
      </c>
      <c r="H109" s="42" t="inlineStr"/>
      <c r="I109" s="42" t="inlineStr">
        <is>
          <t>Niet gestart</t>
        </is>
      </c>
      <c r="J109" s="45" t="n"/>
      <c r="K109" s="42" t="n"/>
    </row>
    <row r="110">
      <c r="A110" s="42" t="inlineStr">
        <is>
          <t>3.10</t>
        </is>
      </c>
      <c r="B110" s="42" t="inlineStr">
        <is>
          <t>3 · Uitrollen</t>
        </is>
      </c>
      <c r="C110" s="42" t="inlineStr"/>
      <c r="D110" s="43" t="inlineStr">
        <is>
          <t>AFAS-koppeling ontwerpen op basis van de scope uit 0.7</t>
        </is>
      </c>
      <c r="E110" s="42" t="inlineStr">
        <is>
          <t>C</t>
        </is>
      </c>
      <c r="F110" s="44" t="n">
        <v>4</v>
      </c>
      <c r="G110" s="42" t="inlineStr">
        <is>
          <t>0.7</t>
        </is>
      </c>
      <c r="H110" s="42" t="inlineStr"/>
      <c r="I110" s="42" t="inlineStr">
        <is>
          <t>Niet gestart</t>
        </is>
      </c>
      <c r="J110" s="45" t="n"/>
      <c r="K110" s="42" t="n"/>
    </row>
    <row r="111">
      <c r="A111" s="42" t="inlineStr">
        <is>
          <t>3.11</t>
        </is>
      </c>
      <c r="B111" s="42" t="inlineStr">
        <is>
          <t>3 · Uitrollen</t>
        </is>
      </c>
      <c r="C111" s="42" t="inlineStr"/>
      <c r="D111" s="43" t="inlineStr">
        <is>
          <t>AFAS: facturen aanleveren vanuit de datalaag</t>
        </is>
      </c>
      <c r="E111" s="42" t="inlineStr">
        <is>
          <t>C</t>
        </is>
      </c>
      <c r="F111" s="44" t="n">
        <v>10</v>
      </c>
      <c r="G111" s="42" t="inlineStr">
        <is>
          <t>3.10</t>
        </is>
      </c>
      <c r="H111" s="42" t="inlineStr"/>
      <c r="I111" s="42" t="inlineStr">
        <is>
          <t>Niet gestart</t>
        </is>
      </c>
      <c r="J111" s="45" t="n"/>
      <c r="K111" s="42" t="n"/>
    </row>
    <row r="112">
      <c r="A112" s="42" t="inlineStr">
        <is>
          <t>3.12</t>
        </is>
      </c>
      <c r="B112" s="42" t="inlineStr">
        <is>
          <t>3 · Uitrollen</t>
        </is>
      </c>
      <c r="C112" s="42" t="inlineStr"/>
      <c r="D112" s="43" t="inlineStr">
        <is>
          <t>AFAS: factuurstatus teruglezen naar `factuur.afas_referentie`</t>
        </is>
      </c>
      <c r="E112" s="42" t="inlineStr">
        <is>
          <t>C</t>
        </is>
      </c>
      <c r="F112" s="44" t="n">
        <v>6</v>
      </c>
      <c r="G112" s="42" t="inlineStr">
        <is>
          <t>3.11</t>
        </is>
      </c>
      <c r="H112" s="42" t="inlineStr"/>
      <c r="I112" s="42" t="inlineStr">
        <is>
          <t>Niet gestart</t>
        </is>
      </c>
      <c r="J112" s="45" t="n"/>
      <c r="K112" s="42" t="n"/>
    </row>
    <row r="113">
      <c r="A113" s="42" t="inlineStr">
        <is>
          <t>3.13</t>
        </is>
      </c>
      <c r="B113" s="42" t="inlineStr">
        <is>
          <t>3 · Uitrollen</t>
        </is>
      </c>
      <c r="C113" s="42" t="inlineStr"/>
      <c r="D113" s="43" t="inlineStr">
        <is>
          <t>Aansluitcontrole datalaag ↔ AFAS over één volledige maand</t>
        </is>
      </c>
      <c r="E113" s="42" t="inlineStr">
        <is>
          <t>D1</t>
        </is>
      </c>
      <c r="F113" s="44" t="n">
        <v>4</v>
      </c>
      <c r="G113" s="42" t="inlineStr">
        <is>
          <t>3.12</t>
        </is>
      </c>
      <c r="H113" s="42" t="inlineStr"/>
      <c r="I113" s="42" t="inlineStr">
        <is>
          <t>Niet gestart</t>
        </is>
      </c>
      <c r="J113" s="45" t="n"/>
      <c r="K113" s="42" t="n"/>
    </row>
    <row r="114">
      <c r="A114" s="42" t="inlineStr">
        <is>
          <t>3.14</t>
        </is>
      </c>
      <c r="B114" s="42" t="inlineStr">
        <is>
          <t>3 · Uitrollen</t>
        </is>
      </c>
      <c r="C114" s="42" t="inlineStr"/>
      <c r="D114" s="43" t="inlineStr">
        <is>
          <t>Bankkoppeling: SEPA-incassoresultaten en storneringen inlezen</t>
        </is>
      </c>
      <c r="E114" s="42" t="inlineStr">
        <is>
          <t>C</t>
        </is>
      </c>
      <c r="F114" s="44" t="n">
        <v>8</v>
      </c>
      <c r="G114" s="42" t="inlineStr">
        <is>
          <t>3.12</t>
        </is>
      </c>
      <c r="H114" s="42" t="inlineStr"/>
      <c r="I114" s="42" t="inlineStr">
        <is>
          <t>Niet gestart</t>
        </is>
      </c>
      <c r="J114" s="45" t="n"/>
      <c r="K114" s="42" t="n"/>
    </row>
    <row r="115">
      <c r="A115" s="42" t="inlineStr">
        <is>
          <t>3.15</t>
        </is>
      </c>
      <c r="B115" s="42" t="inlineStr">
        <is>
          <t>3 · Uitrollen</t>
        </is>
      </c>
      <c r="C115" s="42" t="inlineStr"/>
      <c r="D115" s="43" t="inlineStr">
        <is>
          <t>Sjabloon eigenaarsrapport ontwerpen, met D1 en directie</t>
        </is>
      </c>
      <c r="E115" s="42" t="inlineStr">
        <is>
          <t>D1</t>
        </is>
      </c>
      <c r="F115" s="44" t="n">
        <v>6</v>
      </c>
      <c r="G115" s="42" t="inlineStr">
        <is>
          <t>M6</t>
        </is>
      </c>
      <c r="H115" s="42" t="inlineStr"/>
      <c r="I115" s="42" t="inlineStr">
        <is>
          <t>Niet gestart</t>
        </is>
      </c>
      <c r="J115" s="45" t="n"/>
      <c r="K115" s="42" t="n"/>
    </row>
    <row r="116">
      <c r="A116" s="42" t="inlineStr">
        <is>
          <t>3.16</t>
        </is>
      </c>
      <c r="B116" s="42" t="inlineStr">
        <is>
          <t>3 · Uitrollen</t>
        </is>
      </c>
      <c r="C116" s="42" t="inlineStr"/>
      <c r="D116" s="43" t="inlineStr">
        <is>
          <t>Rapportgenerator bouwen op `v_maandoverzicht_locatie`</t>
        </is>
      </c>
      <c r="E116" s="42" t="inlineStr">
        <is>
          <t>C</t>
        </is>
      </c>
      <c r="F116" s="44" t="n">
        <v>10</v>
      </c>
      <c r="G116" s="42" t="inlineStr">
        <is>
          <t>3.15</t>
        </is>
      </c>
      <c r="H116" s="42" t="inlineStr"/>
      <c r="I116" s="42" t="inlineStr">
        <is>
          <t>Niet gestart</t>
        </is>
      </c>
      <c r="J116" s="45" t="n"/>
      <c r="K116" s="42" t="n"/>
    </row>
    <row r="117">
      <c r="A117" s="42" t="inlineStr">
        <is>
          <t>3.17</t>
        </is>
      </c>
      <c r="B117" s="42" t="inlineStr">
        <is>
          <t>3 · Uitrollen</t>
        </is>
      </c>
      <c r="C117" s="42" t="inlineStr"/>
      <c r="D117" s="43" t="inlineStr">
        <is>
          <t>Rapporten wegschrijven naar de juiste map in SharePoint, met naamgeving</t>
        </is>
      </c>
      <c r="E117" s="42" t="inlineStr">
        <is>
          <t>C</t>
        </is>
      </c>
      <c r="F117" s="44" t="n">
        <v>4</v>
      </c>
      <c r="G117" s="42" t="inlineStr">
        <is>
          <t>3.16</t>
        </is>
      </c>
      <c r="H117" s="42" t="inlineStr"/>
      <c r="I117" s="42" t="inlineStr">
        <is>
          <t>Niet gestart</t>
        </is>
      </c>
      <c r="J117" s="45" t="n"/>
      <c r="K117" s="42" t="n"/>
    </row>
    <row r="118">
      <c r="A118" s="42" t="inlineStr">
        <is>
          <t>3.18</t>
        </is>
      </c>
      <c r="B118" s="42" t="inlineStr">
        <is>
          <t>3 · Uitrollen</t>
        </is>
      </c>
      <c r="C118" s="42" t="inlineStr"/>
      <c r="D118" s="43" t="inlineStr">
        <is>
          <t>Verzendlijst uit `v_locatie_primaire_contactpartij` halen</t>
        </is>
      </c>
      <c r="E118" s="42" t="inlineStr">
        <is>
          <t>C</t>
        </is>
      </c>
      <c r="F118" s="44" t="n">
        <v>2</v>
      </c>
      <c r="G118" s="42" t="inlineStr">
        <is>
          <t>3.16</t>
        </is>
      </c>
      <c r="H118" s="42" t="inlineStr"/>
      <c r="I118" s="42" t="inlineStr">
        <is>
          <t>Niet gestart</t>
        </is>
      </c>
      <c r="J118" s="45" t="n"/>
      <c r="K118" s="42" t="n"/>
    </row>
    <row r="119">
      <c r="A119" s="42" t="inlineStr">
        <is>
          <t>3.19</t>
        </is>
      </c>
      <c r="B119" s="42" t="inlineStr">
        <is>
          <t>3 · Uitrollen</t>
        </is>
      </c>
      <c r="C119" s="42" t="inlineStr"/>
      <c r="D119" s="43" t="inlineStr">
        <is>
          <t>Verzending automatiseren, met vastlegging in `rapportage`</t>
        </is>
      </c>
      <c r="E119" s="42" t="inlineStr">
        <is>
          <t>C</t>
        </is>
      </c>
      <c r="F119" s="44" t="n">
        <v>6</v>
      </c>
      <c r="G119" s="42" t="inlineStr">
        <is>
          <t>3.18</t>
        </is>
      </c>
      <c r="H119" s="42" t="inlineStr"/>
      <c r="I119" s="42" t="inlineStr">
        <is>
          <t>Niet gestart</t>
        </is>
      </c>
      <c r="J119" s="45" t="n"/>
      <c r="K119" s="42" t="n"/>
    </row>
    <row r="120">
      <c r="A120" s="42" t="inlineStr">
        <is>
          <t>3.20</t>
        </is>
      </c>
      <c r="B120" s="42" t="inlineStr">
        <is>
          <t>3 · Uitrollen</t>
        </is>
      </c>
      <c r="C120" s="42" t="inlineStr"/>
      <c r="D120" s="43" t="inlineStr">
        <is>
          <t>Proefdraai: alle rapporten genereren zonder te verzenden, en controleren</t>
        </is>
      </c>
      <c r="E120" s="42" t="inlineStr">
        <is>
          <t>D1</t>
        </is>
      </c>
      <c r="F120" s="44" t="n">
        <v>4</v>
      </c>
      <c r="G120" s="42" t="inlineStr">
        <is>
          <t>3.19</t>
        </is>
      </c>
      <c r="H120" s="42" t="inlineStr"/>
      <c r="I120" s="42" t="inlineStr">
        <is>
          <t>Niet gestart</t>
        </is>
      </c>
      <c r="J120" s="45" t="n"/>
      <c r="K120" s="42" t="n"/>
    </row>
    <row r="121">
      <c r="A121" s="33" t="inlineStr">
        <is>
          <t>3.21</t>
        </is>
      </c>
      <c r="B121" s="42" t="inlineStr">
        <is>
          <t>3 · Uitrollen</t>
        </is>
      </c>
      <c r="C121" s="42" t="inlineStr"/>
      <c r="D121" s="43" t="inlineStr">
        <is>
          <t>Eerste echte maandronde begeleiden en nalopen</t>
        </is>
      </c>
      <c r="E121" s="42" t="inlineStr">
        <is>
          <t>D1+R</t>
        </is>
      </c>
      <c r="F121" s="44" t="n">
        <v>4</v>
      </c>
      <c r="G121" s="42" t="inlineStr">
        <is>
          <t>3.20</t>
        </is>
      </c>
      <c r="H121" s="33" t="inlineStr">
        <is>
          <t>M8</t>
        </is>
      </c>
      <c r="I121" s="42" t="inlineStr">
        <is>
          <t>Niet gestart</t>
        </is>
      </c>
      <c r="J121" s="45" t="n"/>
      <c r="K121" s="42" t="n"/>
    </row>
    <row r="122">
      <c r="A122" s="42" t="inlineStr">
        <is>
          <t>3.22</t>
        </is>
      </c>
      <c r="B122" s="42" t="inlineStr">
        <is>
          <t>3 · Uitrollen</t>
        </is>
      </c>
      <c r="C122" s="42" t="inlineStr"/>
      <c r="D122" s="43" t="inlineStr">
        <is>
          <t>Eigenaren informeren over het nieuwe rapportformaat</t>
        </is>
      </c>
      <c r="E122" s="42" t="inlineStr">
        <is>
          <t>DIR</t>
        </is>
      </c>
      <c r="F122" s="44" t="n">
        <v>3</v>
      </c>
      <c r="G122" s="42" t="inlineStr">
        <is>
          <t>3.21</t>
        </is>
      </c>
      <c r="H122" s="42" t="inlineStr"/>
      <c r="I122" s="42" t="inlineStr">
        <is>
          <t>Niet gestart</t>
        </is>
      </c>
      <c r="J122" s="45" t="n"/>
      <c r="K122" s="42" t="n"/>
    </row>
    <row r="123">
      <c r="A123" s="42" t="inlineStr">
        <is>
          <t>3.23</t>
        </is>
      </c>
      <c r="B123" s="42" t="inlineStr">
        <is>
          <t>3 · Uitrollen</t>
        </is>
      </c>
      <c r="C123" s="42" t="inlineStr"/>
      <c r="D123" s="43" t="inlineStr">
        <is>
          <t>Werkorders voor hosts: storing wordt automatisch werkorder</t>
        </is>
      </c>
      <c r="E123" s="42" t="inlineStr">
        <is>
          <t>C</t>
        </is>
      </c>
      <c r="F123" s="44" t="n">
        <v>6</v>
      </c>
      <c r="G123" s="42" t="inlineStr">
        <is>
          <t>3.9</t>
        </is>
      </c>
      <c r="H123" s="42" t="inlineStr"/>
      <c r="I123" s="42" t="inlineStr">
        <is>
          <t>Niet gestart</t>
        </is>
      </c>
      <c r="J123" s="45" t="n"/>
      <c r="K123" s="42" t="n"/>
    </row>
    <row r="124">
      <c r="A124" s="42" t="inlineStr">
        <is>
          <t>3.24</t>
        </is>
      </c>
      <c r="B124" s="42" t="inlineStr">
        <is>
          <t>3 · Uitrollen</t>
        </is>
      </c>
      <c r="C124" s="42" t="inlineStr"/>
      <c r="D124" s="43" t="inlineStr">
        <is>
          <t>Mobiele weergave voor hosts (werklijst per regio)</t>
        </is>
      </c>
      <c r="E124" s="42" t="inlineStr">
        <is>
          <t>C</t>
        </is>
      </c>
      <c r="F124" s="44" t="n">
        <v>4</v>
      </c>
      <c r="G124" s="42" t="inlineStr">
        <is>
          <t>3.23</t>
        </is>
      </c>
      <c r="H124" s="42" t="inlineStr"/>
      <c r="I124" s="42" t="inlineStr">
        <is>
          <t>Niet gestart</t>
        </is>
      </c>
      <c r="J124" s="45" t="n"/>
      <c r="K124" s="42" t="n"/>
    </row>
    <row r="125">
      <c r="A125" s="42" t="inlineStr">
        <is>
          <t>3.25</t>
        </is>
      </c>
      <c r="B125" s="42" t="inlineStr">
        <is>
          <t>3 · Uitrollen</t>
        </is>
      </c>
      <c r="C125" s="42" t="inlineStr"/>
      <c r="D125" s="43" t="inlineStr">
        <is>
          <t>Hosts instrueren op de werkorderweergave</t>
        </is>
      </c>
      <c r="E125" s="42" t="inlineStr">
        <is>
          <t>D2</t>
        </is>
      </c>
      <c r="F125" s="44" t="n">
        <v>4</v>
      </c>
      <c r="G125" s="42" t="inlineStr">
        <is>
          <t>3.24</t>
        </is>
      </c>
      <c r="H125" s="42" t="inlineStr"/>
      <c r="I125" s="42" t="inlineStr">
        <is>
          <t>Niet gestart</t>
        </is>
      </c>
      <c r="J125" s="45" t="n"/>
      <c r="K125" s="42" t="n"/>
    </row>
    <row r="126">
      <c r="A126" s="42" t="inlineStr">
        <is>
          <t>3.26</t>
        </is>
      </c>
      <c r="B126" s="42" t="inlineStr">
        <is>
          <t>3 · Uitrollen</t>
        </is>
      </c>
      <c r="C126" s="42" t="inlineStr"/>
      <c r="D126" s="43" t="inlineStr">
        <is>
          <t>Onderhoudshistorie per apparaat vullen vanuit bestaande administratie</t>
        </is>
      </c>
      <c r="E126" s="42" t="inlineStr">
        <is>
          <t>D2</t>
        </is>
      </c>
      <c r="F126" s="44" t="n">
        <v>6</v>
      </c>
      <c r="G126" s="42" t="inlineStr">
        <is>
          <t>M1</t>
        </is>
      </c>
      <c r="H126" s="42" t="inlineStr"/>
      <c r="I126" s="42" t="inlineStr">
        <is>
          <t>Niet gestart</t>
        </is>
      </c>
      <c r="J126" s="45" t="n"/>
      <c r="K126" s="42" t="n"/>
    </row>
    <row r="127">
      <c r="A127" s="42" t="inlineStr">
        <is>
          <t>3.27</t>
        </is>
      </c>
      <c r="B127" s="42" t="inlineStr">
        <is>
          <t>3 · Uitrollen</t>
        </is>
      </c>
      <c r="C127" s="42" t="inlineStr"/>
      <c r="D127" s="43" t="inlineStr">
        <is>
          <t>Marketingkoppelingen: GA4 en Google Ads</t>
        </is>
      </c>
      <c r="E127" s="42" t="inlineStr">
        <is>
          <t>C</t>
        </is>
      </c>
      <c r="F127" s="44" t="n">
        <v>8</v>
      </c>
      <c r="G127" s="42" t="inlineStr">
        <is>
          <t>M6</t>
        </is>
      </c>
      <c r="H127" s="42" t="inlineStr"/>
      <c r="I127" s="42" t="inlineStr">
        <is>
          <t>Niet gestart</t>
        </is>
      </c>
      <c r="J127" s="45" t="n"/>
      <c r="K127" s="42" t="n"/>
    </row>
    <row r="128">
      <c r="A128" s="42" t="inlineStr">
        <is>
          <t>3.28</t>
        </is>
      </c>
      <c r="B128" s="42" t="inlineStr">
        <is>
          <t>3 · Uitrollen</t>
        </is>
      </c>
      <c r="C128" s="42" t="inlineStr"/>
      <c r="D128" s="43" t="inlineStr">
        <is>
          <t>Campagneregistratie inrichten in NocoDB voor D4</t>
        </is>
      </c>
      <c r="E128" s="42" t="inlineStr">
        <is>
          <t>C</t>
        </is>
      </c>
      <c r="F128" s="44" t="n">
        <v>4</v>
      </c>
      <c r="G128" s="42" t="inlineStr">
        <is>
          <t>M6</t>
        </is>
      </c>
      <c r="H128" s="42" t="inlineStr"/>
      <c r="I128" s="42" t="inlineStr">
        <is>
          <t>Niet gestart</t>
        </is>
      </c>
      <c r="J128" s="45" t="n"/>
      <c r="K128" s="42" t="n"/>
    </row>
    <row r="129">
      <c r="A129" s="46" t="inlineStr">
        <is>
          <t>4.1</t>
        </is>
      </c>
      <c r="B129" s="46" t="inlineStr">
        <is>
          <t>4 · Klantenservice</t>
        </is>
      </c>
      <c r="C129" s="46" t="inlineStr"/>
      <c r="D129" s="47" t="inlineStr">
        <is>
          <t>Besluit 4 nemen op basis van het meldkameronderzoek</t>
        </is>
      </c>
      <c r="E129" s="46" t="inlineStr">
        <is>
          <t>DIR</t>
        </is>
      </c>
      <c r="F129" s="48" t="n">
        <v>2</v>
      </c>
      <c r="G129" s="46" t="inlineStr">
        <is>
          <t>0.31</t>
        </is>
      </c>
      <c r="H129" s="46" t="inlineStr"/>
      <c r="I129" s="46" t="inlineStr">
        <is>
          <t>Niet gestart</t>
        </is>
      </c>
      <c r="J129" s="49" t="n"/>
      <c r="K129" s="46" t="n"/>
    </row>
    <row r="130">
      <c r="A130" s="46" t="inlineStr">
        <is>
          <t>4.2</t>
        </is>
      </c>
      <c r="B130" s="46" t="inlineStr">
        <is>
          <t>4 · Klantenservice</t>
        </is>
      </c>
      <c r="C130" s="46" t="inlineStr"/>
      <c r="D130" s="47" t="inlineStr">
        <is>
          <t>Klantenservicekanaal inrichten volgens besluit 4</t>
        </is>
      </c>
      <c r="E130" s="46" t="inlineStr">
        <is>
          <t>D3</t>
        </is>
      </c>
      <c r="F130" s="48" t="n">
        <v>8</v>
      </c>
      <c r="G130" s="46" t="inlineStr">
        <is>
          <t>4.1</t>
        </is>
      </c>
      <c r="H130" s="46" t="inlineStr"/>
      <c r="I130" s="46" t="inlineStr">
        <is>
          <t>Niet gestart</t>
        </is>
      </c>
      <c r="J130" s="49" t="n"/>
      <c r="K130" s="46" t="n"/>
    </row>
    <row r="131">
      <c r="A131" s="46" t="inlineStr">
        <is>
          <t>4.3</t>
        </is>
      </c>
      <c r="B131" s="46" t="inlineStr">
        <is>
          <t>4 · Klantenservice</t>
        </is>
      </c>
      <c r="C131" s="46" t="inlineStr"/>
      <c r="D131" s="47" t="inlineStr">
        <is>
          <t>Koppeling bouwen: tickets naar `klantvraag`</t>
        </is>
      </c>
      <c r="E131" s="46" t="inlineStr">
        <is>
          <t>C</t>
        </is>
      </c>
      <c r="F131" s="48" t="n">
        <v>10</v>
      </c>
      <c r="G131" s="46" t="inlineStr">
        <is>
          <t>4.2</t>
        </is>
      </c>
      <c r="H131" s="46" t="inlineStr"/>
      <c r="I131" s="46" t="inlineStr">
        <is>
          <t>Niet gestart</t>
        </is>
      </c>
      <c r="J131" s="49" t="n"/>
      <c r="K131" s="46" t="n"/>
    </row>
    <row r="132">
      <c r="A132" s="46" t="inlineStr">
        <is>
          <t>4.4</t>
        </is>
      </c>
      <c r="B132" s="46" t="inlineStr">
        <is>
          <t>4 · Klantenservice</t>
        </is>
      </c>
      <c r="C132" s="46" t="inlineStr"/>
      <c r="D132" s="47" t="inlineStr">
        <is>
          <t>Automatische herkenning van locatie en abonnee bij een binnenkomend ticket</t>
        </is>
      </c>
      <c r="E132" s="46" t="inlineStr">
        <is>
          <t>C</t>
        </is>
      </c>
      <c r="F132" s="48" t="n">
        <v>6</v>
      </c>
      <c r="G132" s="46" t="inlineStr">
        <is>
          <t>4.3</t>
        </is>
      </c>
      <c r="H132" s="46" t="inlineStr"/>
      <c r="I132" s="46" t="inlineStr">
        <is>
          <t>Niet gestart</t>
        </is>
      </c>
      <c r="J132" s="49" t="n"/>
      <c r="K132" s="46" t="n"/>
    </row>
    <row r="133">
      <c r="A133" s="46" t="inlineStr">
        <is>
          <t>4.5</t>
        </is>
      </c>
      <c r="B133" s="46" t="inlineStr">
        <is>
          <t>4 · Klantenservice</t>
        </is>
      </c>
      <c r="C133" s="46" t="inlineStr"/>
      <c r="D133" s="47" t="inlineStr">
        <is>
          <t>Categorieënlijst vaststellen op basis van drie maanden echte vragen</t>
        </is>
      </c>
      <c r="E133" s="46" t="inlineStr">
        <is>
          <t>D3</t>
        </is>
      </c>
      <c r="F133" s="48" t="n">
        <v>4</v>
      </c>
      <c r="G133" s="46" t="inlineStr">
        <is>
          <t>4.3</t>
        </is>
      </c>
      <c r="H133" s="46" t="inlineStr"/>
      <c r="I133" s="46" t="inlineStr">
        <is>
          <t>Niet gestart</t>
        </is>
      </c>
      <c r="J133" s="49" t="n"/>
      <c r="K133" s="46" t="n"/>
    </row>
    <row r="134">
      <c r="A134" s="46" t="inlineStr">
        <is>
          <t>4.6</t>
        </is>
      </c>
      <c r="B134" s="46" t="inlineStr">
        <is>
          <t>4 · Klantenservice</t>
        </is>
      </c>
      <c r="C134" s="46" t="inlineStr"/>
      <c r="D134" s="47" t="inlineStr">
        <is>
          <t>Intercom-/meldkamerstroom koppelen aan `klantvraag` én `storing`</t>
        </is>
      </c>
      <c r="E134" s="46" t="inlineStr">
        <is>
          <t>C</t>
        </is>
      </c>
      <c r="F134" s="48" t="n">
        <v>8</v>
      </c>
      <c r="G134" s="46" t="inlineStr">
        <is>
          <t>4.1</t>
        </is>
      </c>
      <c r="H134" s="46" t="inlineStr"/>
      <c r="I134" s="46" t="inlineStr">
        <is>
          <t>Niet gestart</t>
        </is>
      </c>
      <c r="J134" s="49" t="n"/>
      <c r="K134" s="46" t="n"/>
    </row>
    <row r="135">
      <c r="A135" s="46" t="inlineStr">
        <is>
          <t>4.7</t>
        </is>
      </c>
      <c r="B135" s="46" t="inlineStr">
        <is>
          <t>4 · Klantenservice</t>
        </is>
      </c>
      <c r="C135" s="46" t="inlineStr"/>
      <c r="D135" s="47" t="inlineStr">
        <is>
          <t>Weergave: klantvragen per locatie en per categorie</t>
        </is>
      </c>
      <c r="E135" s="46" t="inlineStr">
        <is>
          <t>C</t>
        </is>
      </c>
      <c r="F135" s="48" t="n">
        <v>2</v>
      </c>
      <c r="G135" s="46" t="inlineStr">
        <is>
          <t>4.5</t>
        </is>
      </c>
      <c r="H135" s="46" t="inlineStr"/>
      <c r="I135" s="46" t="inlineStr">
        <is>
          <t>Niet gestart</t>
        </is>
      </c>
      <c r="J135" s="49" t="n"/>
      <c r="K135" s="46" t="n"/>
    </row>
    <row r="136">
      <c r="A136" s="46" t="inlineStr">
        <is>
          <t>4.8</t>
        </is>
      </c>
      <c r="B136" s="46" t="inlineStr">
        <is>
          <t>4 · Klantenservice</t>
        </is>
      </c>
      <c r="C136" s="46" t="inlineStr"/>
      <c r="D136" s="47" t="inlineStr">
        <is>
          <t>Nulmeting: hoeveel vragen per categorie, hoeveel tijd per vraag</t>
        </is>
      </c>
      <c r="E136" s="46" t="inlineStr">
        <is>
          <t>D3</t>
        </is>
      </c>
      <c r="F136" s="48" t="n">
        <v>3</v>
      </c>
      <c r="G136" s="46" t="inlineStr">
        <is>
          <t>4.7</t>
        </is>
      </c>
      <c r="H136" s="46" t="inlineStr"/>
      <c r="I136" s="46" t="inlineStr">
        <is>
          <t>Niet gestart</t>
        </is>
      </c>
      <c r="J136" s="49" t="n"/>
      <c r="K136" s="46" t="n"/>
    </row>
    <row r="137">
      <c r="A137" s="46" t="inlineStr">
        <is>
          <t>4.9</t>
        </is>
      </c>
      <c r="B137" s="46" t="inlineStr">
        <is>
          <t>4 · Klantenservice</t>
        </is>
      </c>
      <c r="C137" s="46" t="inlineStr"/>
      <c r="D137" s="47" t="inlineStr">
        <is>
          <t>Top 20 meestgestelde vragen bepalen uit de nulmeting</t>
        </is>
      </c>
      <c r="E137" s="46" t="inlineStr">
        <is>
          <t>D3</t>
        </is>
      </c>
      <c r="F137" s="48" t="n">
        <v>2</v>
      </c>
      <c r="G137" s="46" t="inlineStr">
        <is>
          <t>4.8</t>
        </is>
      </c>
      <c r="H137" s="46" t="inlineStr"/>
      <c r="I137" s="46" t="inlineStr">
        <is>
          <t>Niet gestart</t>
        </is>
      </c>
      <c r="J137" s="49" t="n"/>
      <c r="K137" s="46" t="n"/>
    </row>
    <row r="138">
      <c r="A138" s="46" t="inlineStr">
        <is>
          <t>4.10</t>
        </is>
      </c>
      <c r="B138" s="46" t="inlineStr">
        <is>
          <t>4 · Klantenservice</t>
        </is>
      </c>
      <c r="C138" s="46" t="inlineStr"/>
      <c r="D138" s="47" t="inlineStr">
        <is>
          <t>Kennisartikelen schrijven voor de top 20</t>
        </is>
      </c>
      <c r="E138" s="46" t="inlineStr">
        <is>
          <t>D5</t>
        </is>
      </c>
      <c r="F138" s="48" t="n">
        <v>20</v>
      </c>
      <c r="G138" s="46" t="inlineStr">
        <is>
          <t>4.9</t>
        </is>
      </c>
      <c r="H138" s="46" t="inlineStr"/>
      <c r="I138" s="46" t="inlineStr">
        <is>
          <t>Niet gestart</t>
        </is>
      </c>
      <c r="J138" s="49" t="n"/>
      <c r="K138" s="46" t="n"/>
    </row>
    <row r="139">
      <c r="A139" s="46" t="inlineStr">
        <is>
          <t>4.11</t>
        </is>
      </c>
      <c r="B139" s="46" t="inlineStr">
        <is>
          <t>4 · Klantenservice</t>
        </is>
      </c>
      <c r="C139" s="46" t="inlineStr"/>
      <c r="D139" s="47" t="inlineStr">
        <is>
          <t>Per artikel triggerwoorden en stappen invullen</t>
        </is>
      </c>
      <c r="E139" s="46" t="inlineStr">
        <is>
          <t>D5</t>
        </is>
      </c>
      <c r="F139" s="48" t="n">
        <v>8</v>
      </c>
      <c r="G139" s="46" t="inlineStr">
        <is>
          <t>4.10</t>
        </is>
      </c>
      <c r="H139" s="46" t="inlineStr"/>
      <c r="I139" s="46" t="inlineStr">
        <is>
          <t>Niet gestart</t>
        </is>
      </c>
      <c r="J139" s="49" t="n"/>
      <c r="K139" s="46" t="n"/>
    </row>
    <row r="140">
      <c r="A140" s="46" t="inlineStr">
        <is>
          <t>4.12</t>
        </is>
      </c>
      <c r="B140" s="46" t="inlineStr">
        <is>
          <t>4 · Klantenservice</t>
        </is>
      </c>
      <c r="C140" s="46" t="inlineStr"/>
      <c r="D140" s="47" t="inlineStr">
        <is>
          <t>Per artikel bepalen of goedkeuring nodig is en welke systeemactie hoort</t>
        </is>
      </c>
      <c r="E140" s="46" t="inlineStr">
        <is>
          <t>D5+D3</t>
        </is>
      </c>
      <c r="F140" s="48" t="n">
        <v>4</v>
      </c>
      <c r="G140" s="46" t="inlineStr">
        <is>
          <t>4.11</t>
        </is>
      </c>
      <c r="H140" s="46" t="inlineStr"/>
      <c r="I140" s="46" t="inlineStr">
        <is>
          <t>Niet gestart</t>
        </is>
      </c>
      <c r="J140" s="49" t="n"/>
      <c r="K140" s="46" t="n"/>
    </row>
    <row r="141">
      <c r="A141" s="46" t="inlineStr">
        <is>
          <t>4.13</t>
        </is>
      </c>
      <c r="B141" s="46" t="inlineStr">
        <is>
          <t>4 · Klantenservice</t>
        </is>
      </c>
      <c r="C141" s="46" t="inlineStr"/>
      <c r="D141" s="47" t="inlineStr">
        <is>
          <t>Locatiespecifieke bijzonderheden vastleggen voor alle 37 locaties</t>
        </is>
      </c>
      <c r="E141" s="46" t="inlineStr">
        <is>
          <t>D5+D2</t>
        </is>
      </c>
      <c r="F141" s="48" t="n">
        <v>16</v>
      </c>
      <c r="G141" s="46" t="inlineStr">
        <is>
          <t>M1</t>
        </is>
      </c>
      <c r="H141" s="46" t="inlineStr"/>
      <c r="I141" s="46" t="inlineStr">
        <is>
          <t>Niet gestart</t>
        </is>
      </c>
      <c r="J141" s="49" t="n"/>
      <c r="K141" s="46" t="n"/>
    </row>
    <row r="142">
      <c r="A142" s="46" t="inlineStr">
        <is>
          <t>4.14</t>
        </is>
      </c>
      <c r="B142" s="46" t="inlineStr">
        <is>
          <t>4 · Klantenservice</t>
        </is>
      </c>
      <c r="C142" s="46" t="inlineStr"/>
      <c r="D142" s="47" t="inlineStr">
        <is>
          <t>Herzieningsdata instellen; alle actuele artikelen krijgen een houdbaarheid</t>
        </is>
      </c>
      <c r="E142" s="46" t="inlineStr">
        <is>
          <t>D5</t>
        </is>
      </c>
      <c r="F142" s="48" t="n">
        <v>2</v>
      </c>
      <c r="G142" s="46" t="inlineStr">
        <is>
          <t>4.12</t>
        </is>
      </c>
      <c r="H142" s="46" t="inlineStr"/>
      <c r="I142" s="46" t="inlineStr">
        <is>
          <t>Niet gestart</t>
        </is>
      </c>
      <c r="J142" s="49" t="n"/>
      <c r="K142" s="46" t="n"/>
    </row>
    <row r="143">
      <c r="A143" s="33" t="inlineStr">
        <is>
          <t>4.15</t>
        </is>
      </c>
      <c r="B143" s="46" t="inlineStr">
        <is>
          <t>4 · Klantenservice</t>
        </is>
      </c>
      <c r="C143" s="46" t="inlineStr"/>
      <c r="D143" s="47" t="inlineStr">
        <is>
          <t>Artikelen laten reviewen door een tweede lezer</t>
        </is>
      </c>
      <c r="E143" s="46" t="inlineStr">
        <is>
          <t>D3</t>
        </is>
      </c>
      <c r="F143" s="48" t="n">
        <v>6</v>
      </c>
      <c r="G143" s="46" t="inlineStr">
        <is>
          <t>4.14</t>
        </is>
      </c>
      <c r="H143" s="33" t="inlineStr">
        <is>
          <t>M9</t>
        </is>
      </c>
      <c r="I143" s="46" t="inlineStr">
        <is>
          <t>Niet gestart</t>
        </is>
      </c>
      <c r="J143" s="49" t="n"/>
      <c r="K143" s="46" t="n"/>
    </row>
    <row r="144">
      <c r="A144" s="46" t="inlineStr">
        <is>
          <t>4.16</t>
        </is>
      </c>
      <c r="B144" s="46" t="inlineStr">
        <is>
          <t>4 · Klantenservice</t>
        </is>
      </c>
      <c r="C144" s="46" t="inlineStr"/>
      <c r="D144" s="47" t="inlineStr">
        <is>
          <t>Formulier voor het beheren van kennisartikelen in NocoDB</t>
        </is>
      </c>
      <c r="E144" s="46" t="inlineStr">
        <is>
          <t>C</t>
        </is>
      </c>
      <c r="F144" s="48" t="n">
        <v>3</v>
      </c>
      <c r="G144" s="46" t="inlineStr">
        <is>
          <t>M1</t>
        </is>
      </c>
      <c r="H144" s="46" t="inlineStr"/>
      <c r="I144" s="46" t="inlineStr">
        <is>
          <t>Niet gestart</t>
        </is>
      </c>
      <c r="J144" s="49" t="n"/>
      <c r="K144" s="46" t="n"/>
    </row>
    <row r="145">
      <c r="A145" s="46" t="inlineStr">
        <is>
          <t>4.17</t>
        </is>
      </c>
      <c r="B145" s="46" t="inlineStr">
        <is>
          <t>4 · Klantenservice</t>
        </is>
      </c>
      <c r="C145" s="46" t="inlineStr"/>
      <c r="D145" s="47" t="inlineStr">
        <is>
          <t>Maandelijkse onderhoudsronde inrichten op `v_kennisbank_onderhoud`</t>
        </is>
      </c>
      <c r="E145" s="46" t="inlineStr">
        <is>
          <t>D5</t>
        </is>
      </c>
      <c r="F145" s="48" t="n">
        <v>1</v>
      </c>
      <c r="G145" s="46" t="inlineStr">
        <is>
          <t>4.16</t>
        </is>
      </c>
      <c r="H145" s="46" t="inlineStr"/>
      <c r="I145" s="46" t="inlineStr">
        <is>
          <t>Niet gestart</t>
        </is>
      </c>
      <c r="J145" s="49" t="n"/>
      <c r="K145" s="46" t="n"/>
    </row>
    <row r="146">
      <c r="A146" s="46" t="inlineStr">
        <is>
          <t>4.18</t>
        </is>
      </c>
      <c r="B146" s="46" t="inlineStr">
        <is>
          <t>4 · Klantenservice</t>
        </is>
      </c>
      <c r="C146" s="46" t="inlineStr"/>
      <c r="D146" s="47" t="inlineStr">
        <is>
          <t>Bestaand bronmateriaal uit 05_KENNISBANK omzetten naar artikelen</t>
        </is>
      </c>
      <c r="E146" s="46" t="inlineStr">
        <is>
          <t>D5</t>
        </is>
      </c>
      <c r="F146" s="48" t="n">
        <v>8</v>
      </c>
      <c r="G146" s="46" t="inlineStr">
        <is>
          <t>4.16</t>
        </is>
      </c>
      <c r="H146" s="46" t="inlineStr"/>
      <c r="I146" s="46" t="inlineStr">
        <is>
          <t>Niet gestart</t>
        </is>
      </c>
      <c r="J146" s="49" t="n"/>
      <c r="K146" s="46" t="n"/>
    </row>
    <row r="147">
      <c r="A147" s="46" t="inlineStr">
        <is>
          <t>4.19</t>
        </is>
      </c>
      <c r="B147" s="46" t="inlineStr">
        <is>
          <t>4 · Klantenservice</t>
        </is>
      </c>
      <c r="C147" s="46" t="inlineStr"/>
      <c r="D147" s="47" t="inlineStr">
        <is>
          <t>Kennisbank ontsluiten voor het team (zoekfunctie)</t>
        </is>
      </c>
      <c r="E147" s="46" t="inlineStr">
        <is>
          <t>C</t>
        </is>
      </c>
      <c r="F147" s="48" t="n">
        <v>4</v>
      </c>
      <c r="G147" s="46" t="inlineStr">
        <is>
          <t>4.15</t>
        </is>
      </c>
      <c r="H147" s="46" t="inlineStr"/>
      <c r="I147" s="46" t="inlineStr">
        <is>
          <t>Niet gestart</t>
        </is>
      </c>
      <c r="J147" s="49" t="n"/>
      <c r="K147" s="46" t="n"/>
    </row>
    <row r="148">
      <c r="A148" s="46" t="inlineStr">
        <is>
          <t>4.20</t>
        </is>
      </c>
      <c r="B148" s="46" t="inlineStr">
        <is>
          <t>4 · Klantenservice</t>
        </is>
      </c>
      <c r="C148" s="46" t="inlineStr"/>
      <c r="D148" s="47" t="inlineStr">
        <is>
          <t>Onboarding nieuwe collega's op de kennisbank baseren</t>
        </is>
      </c>
      <c r="E148" s="46" t="inlineStr">
        <is>
          <t>D3</t>
        </is>
      </c>
      <c r="F148" s="48" t="n">
        <v>3</v>
      </c>
      <c r="G148" s="46" t="inlineStr">
        <is>
          <t>4.19</t>
        </is>
      </c>
      <c r="H148" s="46" t="inlineStr"/>
      <c r="I148" s="46" t="inlineStr">
        <is>
          <t>Niet gestart</t>
        </is>
      </c>
      <c r="J148" s="49" t="n"/>
      <c r="K148" s="46" t="n"/>
    </row>
    <row r="149">
      <c r="A149" s="46" t="inlineStr">
        <is>
          <t>4.21</t>
        </is>
      </c>
      <c r="B149" s="46" t="inlineStr">
        <is>
          <t>4 · Klantenservice</t>
        </is>
      </c>
      <c r="C149" s="46" t="inlineStr"/>
      <c r="D149" s="47" t="inlineStr">
        <is>
          <t>Eerste zichtbare winst voor D3: elk antwoord op één plek</t>
        </is>
      </c>
      <c r="E149" s="46" t="inlineStr">
        <is>
          <t>R</t>
        </is>
      </c>
      <c r="F149" s="48" t="n">
        <v>1</v>
      </c>
      <c r="G149" s="46" t="inlineStr">
        <is>
          <t>4.19</t>
        </is>
      </c>
      <c r="H149" s="46" t="inlineStr"/>
      <c r="I149" s="46" t="inlineStr">
        <is>
          <t>Niet gestart</t>
        </is>
      </c>
      <c r="J149" s="49" t="n"/>
      <c r="K149" s="46" t="n"/>
    </row>
    <row r="150">
      <c r="A150" s="46" t="inlineStr">
        <is>
          <t>4.22</t>
        </is>
      </c>
      <c r="B150" s="46" t="inlineStr">
        <is>
          <t>4 · Klantenservice</t>
        </is>
      </c>
      <c r="C150" s="46" t="inlineStr"/>
      <c r="D150" s="47" t="inlineStr">
        <is>
          <t>Effect meten: is de gemiddelde afhandeltijd gedaald?</t>
        </is>
      </c>
      <c r="E150" s="46" t="inlineStr">
        <is>
          <t>D3</t>
        </is>
      </c>
      <c r="F150" s="48" t="n">
        <v>2</v>
      </c>
      <c r="G150" s="46" t="inlineStr">
        <is>
          <t>4.21</t>
        </is>
      </c>
      <c r="H150" s="46" t="inlineStr"/>
      <c r="I150" s="46" t="inlineStr">
        <is>
          <t>Niet gestart</t>
        </is>
      </c>
      <c r="J150" s="49" t="n"/>
      <c r="K150" s="46" t="n"/>
    </row>
    <row r="151">
      <c r="A151" s="50" t="inlineStr">
        <is>
          <t>5.1</t>
        </is>
      </c>
      <c r="B151" s="50" t="inlineStr">
        <is>
          <t>5 · Automatiseren</t>
        </is>
      </c>
      <c r="C151" s="50" t="inlineStr"/>
      <c r="D151" s="51" t="inlineStr">
        <is>
          <t>Botarchitectuur ontwerpen op `v_kennisbank_bruikbaar`</t>
        </is>
      </c>
      <c r="E151" s="50" t="inlineStr">
        <is>
          <t>C</t>
        </is>
      </c>
      <c r="F151" s="52" t="n">
        <v>6</v>
      </c>
      <c r="G151" s="50" t="inlineStr">
        <is>
          <t>M9</t>
        </is>
      </c>
      <c r="H151" s="50" t="inlineStr"/>
      <c r="I151" s="50" t="inlineStr">
        <is>
          <t>Niet gestart</t>
        </is>
      </c>
      <c r="J151" s="53" t="n"/>
      <c r="K151" s="50" t="n"/>
    </row>
    <row r="152">
      <c r="A152" s="50" t="inlineStr">
        <is>
          <t>5.2</t>
        </is>
      </c>
      <c r="B152" s="50" t="inlineStr">
        <is>
          <t>5 · Automatiseren</t>
        </is>
      </c>
      <c r="C152" s="50" t="inlineStr"/>
      <c r="D152" s="51" t="inlineStr">
        <is>
          <t>Bot bouwen: vraag herkennen en artikel matchen</t>
        </is>
      </c>
      <c r="E152" s="50" t="inlineStr">
        <is>
          <t>C</t>
        </is>
      </c>
      <c r="F152" s="52" t="n">
        <v>12</v>
      </c>
      <c r="G152" s="50" t="inlineStr">
        <is>
          <t>5.1</t>
        </is>
      </c>
      <c r="H152" s="50" t="inlineStr"/>
      <c r="I152" s="50" t="inlineStr">
        <is>
          <t>Niet gestart</t>
        </is>
      </c>
      <c r="J152" s="53" t="n"/>
      <c r="K152" s="50" t="n"/>
    </row>
    <row r="153">
      <c r="A153" s="50" t="inlineStr">
        <is>
          <t>5.3</t>
        </is>
      </c>
      <c r="B153" s="50" t="inlineStr">
        <is>
          <t>5 · Automatiseren</t>
        </is>
      </c>
      <c r="C153" s="50" t="inlineStr"/>
      <c r="D153" s="51" t="inlineStr">
        <is>
          <t>Bot: identiteitsverificatie van de klant</t>
        </is>
      </c>
      <c r="E153" s="50" t="inlineStr">
        <is>
          <t>C</t>
        </is>
      </c>
      <c r="F153" s="52" t="n">
        <v>8</v>
      </c>
      <c r="G153" s="50" t="inlineStr">
        <is>
          <t>5.2</t>
        </is>
      </c>
      <c r="H153" s="50" t="inlineStr"/>
      <c r="I153" s="50" t="inlineStr">
        <is>
          <t>Niet gestart</t>
        </is>
      </c>
      <c r="J153" s="53" t="n"/>
      <c r="K153" s="50" t="n"/>
    </row>
    <row r="154">
      <c r="A154" s="50" t="inlineStr">
        <is>
          <t>5.4</t>
        </is>
      </c>
      <c r="B154" s="50" t="inlineStr">
        <is>
          <t>5 · Automatiseren</t>
        </is>
      </c>
      <c r="C154" s="50" t="inlineStr"/>
      <c r="D154" s="51" t="inlineStr">
        <is>
          <t>Bot: kentekenwijziging uitvoeren, inclusief vastlegging</t>
        </is>
      </c>
      <c r="E154" s="50" t="inlineStr">
        <is>
          <t>C</t>
        </is>
      </c>
      <c r="F154" s="52" t="n">
        <v>8</v>
      </c>
      <c r="G154" s="50" t="inlineStr">
        <is>
          <t>5.3</t>
        </is>
      </c>
      <c r="H154" s="50" t="inlineStr"/>
      <c r="I154" s="50" t="inlineStr">
        <is>
          <t>Niet gestart</t>
        </is>
      </c>
      <c r="J154" s="53" t="n"/>
      <c r="K154" s="50" t="n"/>
    </row>
    <row r="155">
      <c r="A155" s="50" t="inlineStr">
        <is>
          <t>5.5</t>
        </is>
      </c>
      <c r="B155" s="50" t="inlineStr">
        <is>
          <t>5 · Automatiseren</t>
        </is>
      </c>
      <c r="C155" s="50" t="inlineStr"/>
      <c r="D155" s="51" t="inlineStr">
        <is>
          <t>Bot: escalatieregels — wat gaat altijd naar een mens</t>
        </is>
      </c>
      <c r="E155" s="50" t="inlineStr">
        <is>
          <t>C+D3</t>
        </is>
      </c>
      <c r="F155" s="52" t="n">
        <v>4</v>
      </c>
      <c r="G155" s="50" t="inlineStr">
        <is>
          <t>5.2</t>
        </is>
      </c>
      <c r="H155" s="50" t="inlineStr"/>
      <c r="I155" s="50" t="inlineStr">
        <is>
          <t>Niet gestart</t>
        </is>
      </c>
      <c r="J155" s="53" t="n"/>
      <c r="K155" s="50" t="n"/>
    </row>
    <row r="156">
      <c r="A156" s="50" t="inlineStr">
        <is>
          <t>5.6</t>
        </is>
      </c>
      <c r="B156" s="50" t="inlineStr">
        <is>
          <t>5 · Automatiseren</t>
        </is>
      </c>
      <c r="C156" s="50" t="inlineStr"/>
      <c r="D156" s="51" t="inlineStr">
        <is>
          <t>Bot: escalatie mét volledige context doorgeven</t>
        </is>
      </c>
      <c r="E156" s="50" t="inlineStr">
        <is>
          <t>C</t>
        </is>
      </c>
      <c r="F156" s="52" t="n">
        <v>4</v>
      </c>
      <c r="G156" s="50" t="inlineStr">
        <is>
          <t>5.5</t>
        </is>
      </c>
      <c r="H156" s="50" t="inlineStr"/>
      <c r="I156" s="50" t="inlineStr">
        <is>
          <t>Niet gestart</t>
        </is>
      </c>
      <c r="J156" s="53" t="n"/>
      <c r="K156" s="50" t="n"/>
    </row>
    <row r="157">
      <c r="A157" s="50" t="inlineStr">
        <is>
          <t>5.7</t>
        </is>
      </c>
      <c r="B157" s="50" t="inlineStr">
        <is>
          <t>5 · Automatiseren</t>
        </is>
      </c>
      <c r="C157" s="50" t="inlineStr"/>
      <c r="D157" s="51" t="inlineStr">
        <is>
          <t>Testset van 50 echte vragen samenstellen uit de historie</t>
        </is>
      </c>
      <c r="E157" s="50" t="inlineStr">
        <is>
          <t>D3</t>
        </is>
      </c>
      <c r="F157" s="52" t="n">
        <v>4</v>
      </c>
      <c r="G157" s="50" t="inlineStr">
        <is>
          <t>5.2</t>
        </is>
      </c>
      <c r="H157" s="50" t="inlineStr"/>
      <c r="I157" s="50" t="inlineStr">
        <is>
          <t>Niet gestart</t>
        </is>
      </c>
      <c r="J157" s="53" t="n"/>
      <c r="K157" s="50" t="n"/>
    </row>
    <row r="158">
      <c r="A158" s="50" t="inlineStr">
        <is>
          <t>5.8</t>
        </is>
      </c>
      <c r="B158" s="50" t="inlineStr">
        <is>
          <t>5 · Automatiseren</t>
        </is>
      </c>
      <c r="C158" s="50" t="inlineStr"/>
      <c r="D158" s="51" t="inlineStr">
        <is>
          <t>Bot testen op de testset, resultaten scoren</t>
        </is>
      </c>
      <c r="E158" s="50" t="inlineStr">
        <is>
          <t>C+D3</t>
        </is>
      </c>
      <c r="F158" s="52" t="n">
        <v>6</v>
      </c>
      <c r="G158" s="50" t="inlineStr">
        <is>
          <t>5.7</t>
        </is>
      </c>
      <c r="H158" s="50" t="inlineStr"/>
      <c r="I158" s="50" t="inlineStr">
        <is>
          <t>Niet gestart</t>
        </is>
      </c>
      <c r="J158" s="53" t="n"/>
      <c r="K158" s="50" t="n"/>
    </row>
    <row r="159">
      <c r="A159" s="50" t="inlineStr">
        <is>
          <t>5.9</t>
        </is>
      </c>
      <c r="B159" s="50" t="inlineStr">
        <is>
          <t>5 · Automatiseren</t>
        </is>
      </c>
      <c r="C159" s="50" t="inlineStr"/>
      <c r="D159" s="51" t="inlineStr">
        <is>
          <t>Bijsturen op de gevonden fouten</t>
        </is>
      </c>
      <c r="E159" s="50" t="inlineStr">
        <is>
          <t>C</t>
        </is>
      </c>
      <c r="F159" s="52" t="n">
        <v>8</v>
      </c>
      <c r="G159" s="50" t="inlineStr">
        <is>
          <t>5.8</t>
        </is>
      </c>
      <c r="H159" s="50" t="inlineStr"/>
      <c r="I159" s="50" t="inlineStr">
        <is>
          <t>Niet gestart</t>
        </is>
      </c>
      <c r="J159" s="53" t="n"/>
      <c r="K159" s="50" t="n"/>
    </row>
    <row r="160">
      <c r="A160" s="50" t="inlineStr">
        <is>
          <t>5.10</t>
        </is>
      </c>
      <c r="B160" s="50" t="inlineStr">
        <is>
          <t>5 · Automatiseren</t>
        </is>
      </c>
      <c r="C160" s="50" t="inlineStr"/>
      <c r="D160" s="51" t="inlineStr">
        <is>
          <t>Schaduwdraaien: bot stelt voor, mens keurt goed, twee weken lang</t>
        </is>
      </c>
      <c r="E160" s="50" t="inlineStr">
        <is>
          <t>D3</t>
        </is>
      </c>
      <c r="F160" s="52" t="n">
        <v>8</v>
      </c>
      <c r="G160" s="50" t="inlineStr">
        <is>
          <t>5.9</t>
        </is>
      </c>
      <c r="H160" s="50" t="inlineStr"/>
      <c r="I160" s="50" t="inlineStr">
        <is>
          <t>Niet gestart</t>
        </is>
      </c>
      <c r="J160" s="53" t="n"/>
      <c r="K160" s="50" t="n"/>
    </row>
    <row r="161">
      <c r="A161" s="50" t="inlineStr">
        <is>
          <t>5.11</t>
        </is>
      </c>
      <c r="B161" s="50" t="inlineStr">
        <is>
          <t>5 · Automatiseren</t>
        </is>
      </c>
      <c r="C161" s="50" t="inlineStr"/>
      <c r="D161" s="51" t="inlineStr">
        <is>
          <t>Live met de veiligste categorie eerst</t>
        </is>
      </c>
      <c r="E161" s="50" t="inlineStr">
        <is>
          <t>D3+R</t>
        </is>
      </c>
      <c r="F161" s="52" t="n">
        <v>4</v>
      </c>
      <c r="G161" s="50" t="inlineStr">
        <is>
          <t>5.10</t>
        </is>
      </c>
      <c r="H161" s="50" t="inlineStr"/>
      <c r="I161" s="50" t="inlineStr">
        <is>
          <t>Niet gestart</t>
        </is>
      </c>
      <c r="J161" s="53" t="n"/>
      <c r="K161" s="50" t="n"/>
    </row>
    <row r="162">
      <c r="A162" s="33" t="inlineStr">
        <is>
          <t>5.12</t>
        </is>
      </c>
      <c r="B162" s="50" t="inlineStr">
        <is>
          <t>5 · Automatiseren</t>
        </is>
      </c>
      <c r="C162" s="50" t="inlineStr"/>
      <c r="D162" s="51" t="inlineStr">
        <is>
          <t>Categorieën stapsgewijs uitbreiden</t>
        </is>
      </c>
      <c r="E162" s="50" t="inlineStr">
        <is>
          <t>D3</t>
        </is>
      </c>
      <c r="F162" s="52" t="n">
        <v>6</v>
      </c>
      <c r="G162" s="50" t="inlineStr">
        <is>
          <t>5.11</t>
        </is>
      </c>
      <c r="H162" s="33" t="inlineStr">
        <is>
          <t>M10</t>
        </is>
      </c>
      <c r="I162" s="50" t="inlineStr">
        <is>
          <t>Niet gestart</t>
        </is>
      </c>
      <c r="J162" s="53" t="n"/>
      <c r="K162" s="50" t="n"/>
    </row>
    <row r="163">
      <c r="A163" s="50" t="inlineStr">
        <is>
          <t>5.13</t>
        </is>
      </c>
      <c r="B163" s="50" t="inlineStr">
        <is>
          <t>5 · Automatiseren</t>
        </is>
      </c>
      <c r="C163" s="50" t="inlineStr"/>
      <c r="D163" s="51" t="inlineStr">
        <is>
          <t>Doorzetten van kentekenwijzigingen naar de parkeersystemen automatiseren</t>
        </is>
      </c>
      <c r="E163" s="50" t="inlineStr">
        <is>
          <t>C</t>
        </is>
      </c>
      <c r="F163" s="52" t="n">
        <v>10</v>
      </c>
      <c r="G163" s="50" t="inlineStr">
        <is>
          <t>M7</t>
        </is>
      </c>
      <c r="H163" s="50" t="inlineStr"/>
      <c r="I163" s="50" t="inlineStr">
        <is>
          <t>Niet gestart</t>
        </is>
      </c>
      <c r="J163" s="53" t="n"/>
      <c r="K163" s="50" t="n"/>
    </row>
    <row r="164">
      <c r="A164" s="50" t="inlineStr">
        <is>
          <t>5.14</t>
        </is>
      </c>
      <c r="B164" s="50" t="inlineStr">
        <is>
          <t>5 · Automatiseren</t>
        </is>
      </c>
      <c r="C164" s="50" t="inlineStr"/>
      <c r="D164" s="51" t="inlineStr">
        <is>
          <t>Bewaken dat `v_werklijst_kentekenmutaties` dagelijks leegloopt</t>
        </is>
      </c>
      <c r="E164" s="50" t="inlineStr">
        <is>
          <t>D3</t>
        </is>
      </c>
      <c r="F164" s="52" t="n">
        <v>2</v>
      </c>
      <c r="G164" s="50" t="inlineStr">
        <is>
          <t>5.13</t>
        </is>
      </c>
      <c r="H164" s="50" t="inlineStr"/>
      <c r="I164" s="50" t="inlineStr">
        <is>
          <t>Niet gestart</t>
        </is>
      </c>
      <c r="J164" s="53" t="n"/>
      <c r="K164" s="50" t="n"/>
    </row>
    <row r="165">
      <c r="A165" s="50" t="inlineStr">
        <is>
          <t>5.15</t>
        </is>
      </c>
      <c r="B165" s="50" t="inlineStr">
        <is>
          <t>5 · Automatiseren</t>
        </is>
      </c>
      <c r="C165" s="50" t="inlineStr"/>
      <c r="D165" s="51" t="inlineStr">
        <is>
          <t>SEPA-flow: machtiging aanvragen bij een nieuw abonnement</t>
        </is>
      </c>
      <c r="E165" s="50" t="inlineStr">
        <is>
          <t>C</t>
        </is>
      </c>
      <c r="F165" s="52" t="n">
        <v>10</v>
      </c>
      <c r="G165" s="50" t="inlineStr">
        <is>
          <t>M8</t>
        </is>
      </c>
      <c r="H165" s="50" t="inlineStr"/>
      <c r="I165" s="50" t="inlineStr">
        <is>
          <t>Niet gestart</t>
        </is>
      </c>
      <c r="J165" s="53" t="n"/>
      <c r="K165" s="50" t="n"/>
    </row>
    <row r="166">
      <c r="A166" s="50" t="inlineStr">
        <is>
          <t>5.16</t>
        </is>
      </c>
      <c r="B166" s="50" t="inlineStr">
        <is>
          <t>5 · Automatiseren</t>
        </is>
      </c>
      <c r="C166" s="50" t="inlineStr"/>
      <c r="D166" s="51" t="inlineStr">
        <is>
          <t>SEPA-flow: incassobatch genereren</t>
        </is>
      </c>
      <c r="E166" s="50" t="inlineStr">
        <is>
          <t>C</t>
        </is>
      </c>
      <c r="F166" s="52" t="n">
        <v>8</v>
      </c>
      <c r="G166" s="50" t="inlineStr">
        <is>
          <t>5.15</t>
        </is>
      </c>
      <c r="H166" s="50" t="inlineStr"/>
      <c r="I166" s="50" t="inlineStr">
        <is>
          <t>Niet gestart</t>
        </is>
      </c>
      <c r="J166" s="53" t="n"/>
      <c r="K166" s="50" t="n"/>
    </row>
    <row r="167">
      <c r="A167" s="50" t="inlineStr">
        <is>
          <t>5.17</t>
        </is>
      </c>
      <c r="B167" s="50" t="inlineStr">
        <is>
          <t>5 · Automatiseren</t>
        </is>
      </c>
      <c r="C167" s="50" t="inlineStr"/>
      <c r="D167" s="51" t="inlineStr">
        <is>
          <t>SEPA-flow: storneringen automatisch verwerken en opvolgen</t>
        </is>
      </c>
      <c r="E167" s="50" t="inlineStr">
        <is>
          <t>C</t>
        </is>
      </c>
      <c r="F167" s="52" t="n">
        <v>6</v>
      </c>
      <c r="G167" s="50" t="inlineStr">
        <is>
          <t>5.16, 3.14</t>
        </is>
      </c>
      <c r="H167" s="50" t="inlineStr"/>
      <c r="I167" s="50" t="inlineStr">
        <is>
          <t>Niet gestart</t>
        </is>
      </c>
      <c r="J167" s="53" t="n"/>
      <c r="K167" s="50" t="n"/>
    </row>
    <row r="168">
      <c r="A168" s="50" t="inlineStr">
        <is>
          <t>5.18</t>
        </is>
      </c>
      <c r="B168" s="50" t="inlineStr">
        <is>
          <t>5 · Automatiseren</t>
        </is>
      </c>
      <c r="C168" s="50" t="inlineStr"/>
      <c r="D168" s="51" t="inlineStr">
        <is>
          <t>Signaallus: signalering activeren op `v_signaal_onderprestatie`</t>
        </is>
      </c>
      <c r="E168" s="50" t="inlineStr">
        <is>
          <t>C</t>
        </is>
      </c>
      <c r="F168" s="52" t="n">
        <v>4</v>
      </c>
      <c r="G168" s="50" t="inlineStr">
        <is>
          <t>M7</t>
        </is>
      </c>
      <c r="H168" s="50" t="inlineStr"/>
      <c r="I168" s="50" t="inlineStr">
        <is>
          <t>Niet gestart</t>
        </is>
      </c>
      <c r="J168" s="53" t="n"/>
      <c r="K168" s="50" t="n"/>
    </row>
    <row r="169">
      <c r="A169" s="50" t="inlineStr">
        <is>
          <t>5.19</t>
        </is>
      </c>
      <c r="B169" s="50" t="inlineStr">
        <is>
          <t>5 · Automatiseren</t>
        </is>
      </c>
      <c r="C169" s="50" t="inlineStr"/>
      <c r="D169" s="51" t="inlineStr">
        <is>
          <t>Signaallus: automatische interne oorzaakcheck bij Operatie</t>
        </is>
      </c>
      <c r="E169" s="50" t="inlineStr">
        <is>
          <t>C</t>
        </is>
      </c>
      <c r="F169" s="52" t="n">
        <v>6</v>
      </c>
      <c r="G169" s="50" t="inlineStr">
        <is>
          <t>5.18</t>
        </is>
      </c>
      <c r="H169" s="50" t="inlineStr"/>
      <c r="I169" s="50" t="inlineStr">
        <is>
          <t>Niet gestart</t>
        </is>
      </c>
      <c r="J169" s="53" t="n"/>
      <c r="K169" s="50" t="n"/>
    </row>
    <row r="170">
      <c r="A170" s="50" t="inlineStr">
        <is>
          <t>5.20</t>
        </is>
      </c>
      <c r="B170" s="50" t="inlineStr">
        <is>
          <t>5 · Automatiseren</t>
        </is>
      </c>
      <c r="C170" s="50" t="inlineStr"/>
      <c r="D170" s="51" t="inlineStr">
        <is>
          <t>Signaallus: externe oorzaakcheck (werkzaamheden, evenementen rond de GPS-locatie)</t>
        </is>
      </c>
      <c r="E170" s="50" t="inlineStr">
        <is>
          <t>C</t>
        </is>
      </c>
      <c r="F170" s="52" t="n">
        <v>8</v>
      </c>
      <c r="G170" s="50" t="inlineStr">
        <is>
          <t>5.19</t>
        </is>
      </c>
      <c r="H170" s="50" t="inlineStr"/>
      <c r="I170" s="50" t="inlineStr">
        <is>
          <t>Niet gestart</t>
        </is>
      </c>
      <c r="J170" s="53" t="n"/>
      <c r="K170" s="50" t="n"/>
    </row>
    <row r="171">
      <c r="A171" s="50" t="inlineStr">
        <is>
          <t>5.21</t>
        </is>
      </c>
      <c r="B171" s="50" t="inlineStr">
        <is>
          <t>5 · Automatiseren</t>
        </is>
      </c>
      <c r="C171" s="50" t="inlineStr"/>
      <c r="D171" s="51" t="inlineStr">
        <is>
          <t>Signaallus: campagne-aanleiding met context naar Marketing</t>
        </is>
      </c>
      <c r="E171" s="50" t="inlineStr">
        <is>
          <t>C</t>
        </is>
      </c>
      <c r="F171" s="52" t="n">
        <v>6</v>
      </c>
      <c r="G171" s="50" t="inlineStr">
        <is>
          <t>5.20</t>
        </is>
      </c>
      <c r="H171" s="50" t="inlineStr"/>
      <c r="I171" s="50" t="inlineStr">
        <is>
          <t>Niet gestart</t>
        </is>
      </c>
      <c r="J171" s="53" t="n"/>
      <c r="K171" s="50" t="n"/>
    </row>
    <row r="172">
      <c r="A172" s="50" t="inlineStr">
        <is>
          <t>5.22</t>
        </is>
      </c>
      <c r="B172" s="50" t="inlineStr">
        <is>
          <t>5 · Automatiseren</t>
        </is>
      </c>
      <c r="C172" s="50" t="inlineStr"/>
      <c r="D172" s="51" t="inlineStr">
        <is>
          <t>Signaallus: ROI automatisch terugmeten na afloop van het na-venster</t>
        </is>
      </c>
      <c r="E172" s="50" t="inlineStr">
        <is>
          <t>C</t>
        </is>
      </c>
      <c r="F172" s="52" t="n">
        <v>8</v>
      </c>
      <c r="G172" s="50" t="inlineStr">
        <is>
          <t>5.21</t>
        </is>
      </c>
      <c r="H172" s="50" t="inlineStr"/>
      <c r="I172" s="50" t="inlineStr">
        <is>
          <t>Niet gestart</t>
        </is>
      </c>
      <c r="J172" s="53" t="n"/>
      <c r="K172" s="50" t="n"/>
    </row>
    <row r="173">
      <c r="A173" s="50" t="inlineStr">
        <is>
          <t>5.23</t>
        </is>
      </c>
      <c r="B173" s="50" t="inlineStr">
        <is>
          <t>5 · Automatiseren</t>
        </is>
      </c>
      <c r="C173" s="50" t="inlineStr"/>
      <c r="D173" s="51" t="inlineStr">
        <is>
          <t>Signaaldrempels bijstellen op een half jaar echte data</t>
        </is>
      </c>
      <c r="E173" s="50" t="inlineStr">
        <is>
          <t>D1+C</t>
        </is>
      </c>
      <c r="F173" s="52" t="n">
        <v>3</v>
      </c>
      <c r="G173" s="50" t="inlineStr">
        <is>
          <t>5.18</t>
        </is>
      </c>
      <c r="H173" s="50" t="inlineStr"/>
      <c r="I173" s="50" t="inlineStr">
        <is>
          <t>Niet gestart</t>
        </is>
      </c>
      <c r="J173" s="53" t="n"/>
      <c r="K173" s="50" t="n"/>
    </row>
    <row r="174">
      <c r="A174" s="33" t="inlineStr">
        <is>
          <t>5.24</t>
        </is>
      </c>
      <c r="B174" s="50" t="inlineStr">
        <is>
          <t>5 · Automatiseren</t>
        </is>
      </c>
      <c r="C174" s="50" t="inlineStr"/>
      <c r="D174" s="51" t="inlineStr">
        <is>
          <t>Volledige lus testen op één locatie, van signaal tot ROI</t>
        </is>
      </c>
      <c r="E174" s="50" t="inlineStr">
        <is>
          <t>R+D4</t>
        </is>
      </c>
      <c r="F174" s="52" t="n">
        <v>4</v>
      </c>
      <c r="G174" s="50" t="inlineStr">
        <is>
          <t>5.22</t>
        </is>
      </c>
      <c r="H174" s="33" t="inlineStr">
        <is>
          <t>M11</t>
        </is>
      </c>
      <c r="I174" s="50" t="inlineStr">
        <is>
          <t>Niet gestart</t>
        </is>
      </c>
      <c r="J174" s="53" t="n"/>
      <c r="K174" s="50" t="n"/>
    </row>
    <row r="175">
      <c r="A175" s="50" t="inlineStr">
        <is>
          <t>5.25</t>
        </is>
      </c>
      <c r="B175" s="50" t="inlineStr">
        <is>
          <t>5 · Automatiseren</t>
        </is>
      </c>
      <c r="C175" s="50" t="inlineStr"/>
      <c r="D175" s="51" t="inlineStr">
        <is>
          <t>Jaarlijkse schoonmaakdag inplannen, structureel in de agenda</t>
        </is>
      </c>
      <c r="E175" s="50" t="inlineStr">
        <is>
          <t>DIR</t>
        </is>
      </c>
      <c r="F175" s="52" t="n">
        <v>1</v>
      </c>
      <c r="G175" s="50" t="inlineStr"/>
      <c r="H175" s="50" t="inlineStr"/>
      <c r="I175" s="50" t="inlineStr">
        <is>
          <t>Niet gestart</t>
        </is>
      </c>
      <c r="J175" s="53" t="n"/>
      <c r="K175" s="50" t="n"/>
    </row>
    <row r="176">
      <c r="A176" s="50" t="inlineStr">
        <is>
          <t>5.26</t>
        </is>
      </c>
      <c r="B176" s="50" t="inlineStr">
        <is>
          <t>5 · Automatiseren</t>
        </is>
      </c>
      <c r="C176" s="50" t="inlineStr"/>
      <c r="D176" s="51" t="inlineStr">
        <is>
          <t>Evaluatie: wat is er gehaald, wat gaat naar jaar twee</t>
        </is>
      </c>
      <c r="E176" s="50" t="inlineStr">
        <is>
          <t>R+DIR</t>
        </is>
      </c>
      <c r="F176" s="52" t="n">
        <v>4</v>
      </c>
      <c r="G176" s="50" t="inlineStr">
        <is>
          <t>5.24</t>
        </is>
      </c>
      <c r="H176" s="50" t="inlineStr"/>
      <c r="I176" s="50" t="inlineStr">
        <is>
          <t>Niet gestart</t>
        </is>
      </c>
      <c r="J176" s="53" t="n"/>
      <c r="K176" s="50" t="n"/>
    </row>
  </sheetData>
  <autoFilter ref="A1:K176"/>
  <conditionalFormatting sqref="I2:I176">
    <cfRule type="cellIs" priority="1" operator="equal" dxfId="0">
      <formula>"Gereed"</formula>
    </cfRule>
    <cfRule type="cellIs" priority="2" operator="equal" dxfId="1">
      <formula>"Geblokkeerd"</formula>
    </cfRule>
    <cfRule type="cellIs" priority="3" operator="equal" dxfId="2">
      <formula>"Wacht op derden"</formula>
    </cfRule>
  </conditionalFormatting>
  <dataValidations count="1">
    <dataValidation sqref="I2:I176" showDropDown="0" showInputMessage="0" showErrorMessage="0" allowBlank="1" type="list">
      <formula1>"Niet gestart,Bezig,Wacht op derden,Geblokkeerd,Gereed,Vervallen"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4" customWidth="1" min="3" max="3"/>
    <col width="20" customWidth="1" min="4" max="4"/>
    <col width="16" customWidth="1" min="5" max="5"/>
    <col width="66" customWidth="1" min="6" max="6"/>
    <col width="13" customWidth="1" min="7" max="7"/>
    <col width="15" customWidth="1" min="8" max="8"/>
    <col width="14" customWidth="1" min="9" max="9"/>
  </cols>
  <sheetData>
    <row r="1" ht="22" customHeight="1">
      <c r="A1" s="3" t="inlineStr">
        <is>
          <t>Mijlpaal</t>
        </is>
      </c>
      <c r="B1" s="3" t="inlineStr">
        <is>
          <t>Fase</t>
        </is>
      </c>
      <c r="C1" s="3" t="inlineStr">
        <is>
          <t>Wat er dan staat</t>
        </is>
      </c>
      <c r="D1" s="3" t="inlineStr">
        <is>
          <t>Tekent af</t>
        </is>
      </c>
      <c r="E1" s="3" t="inlineStr">
        <is>
          <t>Sluit af na taak</t>
        </is>
      </c>
      <c r="F1" s="3" t="inlineStr">
        <is>
          <t>Testcriterium</t>
        </is>
      </c>
      <c r="G1" s="3" t="inlineStr">
        <is>
          <t>Voortgang t/m</t>
        </is>
      </c>
      <c r="H1" s="3" t="inlineStr">
        <is>
          <t>Status</t>
        </is>
      </c>
      <c r="I1" s="3" t="inlineStr">
        <is>
          <t>Afgetekend op</t>
        </is>
      </c>
    </row>
    <row r="2">
      <c r="A2" s="54" t="inlineStr">
        <is>
          <t>M0</t>
        </is>
      </c>
      <c r="B2" s="29" t="inlineStr">
        <is>
          <t>0 · Fundament</t>
        </is>
      </c>
      <c r="C2" s="30" t="inlineStr">
        <is>
          <t>Besluiten genomen, kritiek pad gestart</t>
        </is>
      </c>
      <c r="D2" s="29" t="inlineStr">
        <is>
          <t>Directie</t>
        </is>
      </c>
      <c r="E2" s="29" t="inlineStr">
        <is>
          <t>0.9</t>
        </is>
      </c>
      <c r="F2" s="30" t="inlineStr">
        <is>
          <t>Vier leveranciersaanvragen verstuurd, met datum in de Connector Registry</t>
        </is>
      </c>
      <c r="G2" s="55">
        <f>COUNTIF(Takenlijst!$I$2:$I$10,"Gereed")/9</f>
        <v/>
      </c>
      <c r="H2" s="29" t="inlineStr">
        <is>
          <t>Niet gehaald</t>
        </is>
      </c>
      <c r="I2" s="32" t="n"/>
    </row>
    <row r="3">
      <c r="A3" s="54" t="inlineStr">
        <is>
          <t>M1</t>
        </is>
      </c>
      <c r="B3" s="29" t="inlineStr">
        <is>
          <t>0 · Fundament</t>
        </is>
      </c>
      <c r="C3" s="30" t="inlineStr">
        <is>
          <t>Registers live</t>
        </is>
      </c>
      <c r="D3" s="29" t="inlineStr">
        <is>
          <t>D2 Operatie</t>
        </is>
      </c>
      <c r="E3" s="29" t="inlineStr">
        <is>
          <t>0.44</t>
        </is>
      </c>
      <c r="F3" s="30" t="inlineStr">
        <is>
          <t>37 locaties compleet in NocoDB; v_datakwaliteit leeg</t>
        </is>
      </c>
      <c r="G3" s="55">
        <f>COUNTIF(Takenlijst!$I$2:$I$45,"Gereed")/44</f>
        <v/>
      </c>
      <c r="H3" s="29" t="inlineStr">
        <is>
          <t>Niet gehaald</t>
        </is>
      </c>
      <c r="I3" s="32" t="n"/>
    </row>
    <row r="4">
      <c r="A4" s="54" t="inlineStr">
        <is>
          <t>M2</t>
        </is>
      </c>
      <c r="B4" s="29" t="inlineStr">
        <is>
          <t>0 · Fundament</t>
        </is>
      </c>
      <c r="C4" s="30" t="inlineStr">
        <is>
          <t>Documentlaag live, oude drive bevroren</t>
        </is>
      </c>
      <c r="D4" s="29" t="inlineStr">
        <is>
          <t>Directie</t>
        </is>
      </c>
      <c r="E4" s="29" t="inlineStr">
        <is>
          <t>0.52</t>
        </is>
      </c>
      <c r="F4" s="30" t="inlineStr">
        <is>
          <t>Nieuwe SharePoint in gebruik; schrijven in de oude drive wordt geweigerd</t>
        </is>
      </c>
      <c r="G4" s="55">
        <f>COUNTIF(Takenlijst!$I$2:$I$53,"Gereed")/52</f>
        <v/>
      </c>
      <c r="H4" s="29" t="inlineStr">
        <is>
          <t>Niet gehaald</t>
        </is>
      </c>
      <c r="I4" s="32" t="n"/>
    </row>
    <row r="5">
      <c r="A5" s="56" t="inlineStr">
        <is>
          <t>M3</t>
        </is>
      </c>
      <c r="B5" s="34" t="inlineStr">
        <is>
          <t>1 · Abonnementen</t>
        </is>
      </c>
      <c r="C5" s="35" t="inlineStr">
        <is>
          <t>Abonnementen gemigreerd</t>
        </is>
      </c>
      <c r="D5" s="34" t="inlineStr">
        <is>
          <t>D3 Klantenservice</t>
        </is>
      </c>
      <c r="E5" s="34" t="inlineStr">
        <is>
          <t>1.18</t>
        </is>
      </c>
      <c r="F5" s="35" t="inlineStr">
        <is>
          <t>Aantallen kloppen met Excel; steekproef van tien correct; Excel bevroren</t>
        </is>
      </c>
      <c r="G5" s="57">
        <f>COUNTIF(Takenlijst!$I$54:$I$71,"Gereed")/18</f>
        <v/>
      </c>
      <c r="H5" s="34" t="inlineStr">
        <is>
          <t>Niet gehaald</t>
        </is>
      </c>
      <c r="I5" s="37" t="n"/>
    </row>
    <row r="6">
      <c r="A6" s="56" t="inlineStr">
        <is>
          <t>M4</t>
        </is>
      </c>
      <c r="B6" s="34" t="inlineStr">
        <is>
          <t>1 · Abonnementen</t>
        </is>
      </c>
      <c r="C6" s="35" t="inlineStr">
        <is>
          <t>Kentekenwijziging werkt end-to-end</t>
        </is>
      </c>
      <c r="D6" s="34" t="inlineStr">
        <is>
          <t>D3 Klantenservice</t>
        </is>
      </c>
      <c r="E6" s="34" t="inlineStr">
        <is>
          <t>1.13</t>
        </is>
      </c>
      <c r="F6" s="35" t="inlineStr">
        <is>
          <t>Formulier werkt; mutatie automatisch vastgelegd; werklijst loopt leeg</t>
        </is>
      </c>
      <c r="G6" s="57">
        <f>COUNTIF(Takenlijst!$I$54:$I$66,"Gereed")/13</f>
        <v/>
      </c>
      <c r="H6" s="34" t="inlineStr">
        <is>
          <t>Niet gehaald</t>
        </is>
      </c>
      <c r="I6" s="37" t="n"/>
    </row>
    <row r="7">
      <c r="A7" s="58" t="inlineStr">
        <is>
          <t>M5</t>
        </is>
      </c>
      <c r="B7" s="38" t="inlineStr">
        <is>
          <t>2 · Eerste koppeling</t>
        </is>
      </c>
      <c r="C7" s="39" t="inlineStr">
        <is>
          <t>Pilot-parkeersysteem levert data</t>
        </is>
      </c>
      <c r="D7" s="38" t="inlineStr">
        <is>
          <t>D1 Financiën</t>
        </is>
      </c>
      <c r="E7" s="38" t="inlineStr">
        <is>
          <t>2.14</t>
        </is>
      </c>
      <c r="F7" s="39" t="inlineStr">
        <is>
          <t>Dagelijkse run draait vanzelf; tweede import verdubbelt niet; fout geeft alarm</t>
        </is>
      </c>
      <c r="G7" s="59">
        <f>COUNTIF(Takenlijst!$I$76:$I$89,"Gereed")/14</f>
        <v/>
      </c>
      <c r="H7" s="38" t="inlineStr">
        <is>
          <t>Niet gehaald</t>
        </is>
      </c>
      <c r="I7" s="41" t="n"/>
    </row>
    <row r="8">
      <c r="A8" s="58" t="inlineStr">
        <is>
          <t>M6</t>
        </is>
      </c>
      <c r="B8" s="38" t="inlineStr">
        <is>
          <t>2 · Eerste koppeling</t>
        </is>
      </c>
      <c r="C8" s="39" t="inlineStr">
        <is>
          <t>Dashboard per locatie</t>
        </is>
      </c>
      <c r="D8" s="38" t="inlineStr">
        <is>
          <t>D1 + D2</t>
        </is>
      </c>
      <c r="E8" s="38" t="inlineStr">
        <is>
          <t>2.23</t>
        </is>
      </c>
      <c r="F8" s="39" t="inlineStr">
        <is>
          <t>Dwarsdoorsnede klopt; advieslocaties tellen niet mee; prognose naar rato</t>
        </is>
      </c>
      <c r="G8" s="59">
        <f>COUNTIF(Takenlijst!$I$76:$I$98,"Gereed")/23</f>
        <v/>
      </c>
      <c r="H8" s="38" t="inlineStr">
        <is>
          <t>Niet gehaald</t>
        </is>
      </c>
      <c r="I8" s="41" t="n"/>
    </row>
    <row r="9">
      <c r="A9" s="60" t="inlineStr">
        <is>
          <t>M7</t>
        </is>
      </c>
      <c r="B9" s="42" t="inlineStr">
        <is>
          <t>3 · Uitrollen</t>
        </is>
      </c>
      <c r="C9" s="43" t="inlineStr">
        <is>
          <t>Alle platformen en AFAS gekoppeld</t>
        </is>
      </c>
      <c r="D9" s="42" t="inlineStr">
        <is>
          <t>D1 Financiën</t>
        </is>
      </c>
      <c r="E9" s="42" t="inlineStr">
        <is>
          <t>3.8</t>
        </is>
      </c>
      <c r="F9" s="43" t="inlineStr">
        <is>
          <t>Nul exploitatielocaties zonder data over de laatste 7 dagen</t>
        </is>
      </c>
      <c r="G9" s="61">
        <f>COUNTIF(Takenlijst!$I$101:$I$108,"Gereed")/8</f>
        <v/>
      </c>
      <c r="H9" s="42" t="inlineStr">
        <is>
          <t>Niet gehaald</t>
        </is>
      </c>
      <c r="I9" s="45" t="n"/>
    </row>
    <row r="10">
      <c r="A10" s="60" t="inlineStr">
        <is>
          <t>M8</t>
        </is>
      </c>
      <c r="B10" s="42" t="inlineStr">
        <is>
          <t>3 · Uitrollen</t>
        </is>
      </c>
      <c r="C10" s="43" t="inlineStr">
        <is>
          <t>Eigenaarsrapportages automatisch</t>
        </is>
      </c>
      <c r="D10" s="42" t="inlineStr">
        <is>
          <t>Directie</t>
        </is>
      </c>
      <c r="E10" s="42" t="inlineStr">
        <is>
          <t>3.21</t>
        </is>
      </c>
      <c r="F10" s="43" t="inlineStr">
        <is>
          <t>Gegenereerd, juiste naam en map, verzonden aan de primaire contactpartij</t>
        </is>
      </c>
      <c r="G10" s="61">
        <f>COUNTIF(Takenlijst!$I$101:$I$121,"Gereed")/21</f>
        <v/>
      </c>
      <c r="H10" s="42" t="inlineStr">
        <is>
          <t>Niet gehaald</t>
        </is>
      </c>
      <c r="I10" s="45" t="n"/>
    </row>
    <row r="11">
      <c r="A11" s="62" t="inlineStr">
        <is>
          <t>M9</t>
        </is>
      </c>
      <c r="B11" s="46" t="inlineStr">
        <is>
          <t>4 · Klantenservice</t>
        </is>
      </c>
      <c r="C11" s="47" t="inlineStr">
        <is>
          <t>Kanaal gekoppeld en kennisbank gevuld</t>
        </is>
      </c>
      <c r="D11" s="46" t="inlineStr">
        <is>
          <t>D3 Klantenservice</t>
        </is>
      </c>
      <c r="E11" s="46" t="inlineStr">
        <is>
          <t>4.15</t>
        </is>
      </c>
      <c r="F11" s="47" t="inlineStr">
        <is>
          <t>Klantvragen landen in de datalaag; top 20 vragen heeft een actueel artikel</t>
        </is>
      </c>
      <c r="G11" s="63">
        <f>COUNTIF(Takenlijst!$I$129:$I$143,"Gereed")/15</f>
        <v/>
      </c>
      <c r="H11" s="46" t="inlineStr">
        <is>
          <t>Niet gehaald</t>
        </is>
      </c>
      <c r="I11" s="49" t="n"/>
    </row>
    <row r="12">
      <c r="A12" s="64" t="inlineStr">
        <is>
          <t>M10</t>
        </is>
      </c>
      <c r="B12" s="50" t="inlineStr">
        <is>
          <t>5 · Automatiseren</t>
        </is>
      </c>
      <c r="C12" s="51" t="inlineStr">
        <is>
          <t>AI-klantenservice live</t>
        </is>
      </c>
      <c r="D12" s="50" t="inlineStr">
        <is>
          <t>D3 + Directie</t>
        </is>
      </c>
      <c r="E12" s="50" t="inlineStr">
        <is>
          <t>5.12</t>
        </is>
      </c>
      <c r="F12" s="51" t="inlineStr">
        <is>
          <t>Minimaal 15 van 20 testvragen correct; nul foute antwoorden zonder escalatie</t>
        </is>
      </c>
      <c r="G12" s="65">
        <f>COUNTIF(Takenlijst!$I$151:$I$162,"Gereed")/12</f>
        <v/>
      </c>
      <c r="H12" s="50" t="inlineStr">
        <is>
          <t>Niet gehaald</t>
        </is>
      </c>
      <c r="I12" s="53" t="n"/>
    </row>
    <row r="13">
      <c r="A13" s="64" t="inlineStr">
        <is>
          <t>M11</t>
        </is>
      </c>
      <c r="B13" s="50" t="inlineStr">
        <is>
          <t>5 · Automatiseren</t>
        </is>
      </c>
      <c r="C13" s="51" t="inlineStr">
        <is>
          <t>Signaallus actief</t>
        </is>
      </c>
      <c r="D13" s="50" t="inlineStr">
        <is>
          <t>Directie</t>
        </is>
      </c>
      <c r="E13" s="50" t="inlineStr">
        <is>
          <t>5.24</t>
        </is>
      </c>
      <c r="F13" s="51" t="inlineStr">
        <is>
          <t>Signaal → oorzaakcheck → campagne → ROI, met een uitgelokte afwijking getest</t>
        </is>
      </c>
      <c r="G13" s="65">
        <f>COUNTIF(Takenlijst!$I$151:$I$174,"Gereed")/24</f>
        <v/>
      </c>
      <c r="H13" s="50" t="inlineStr">
        <is>
          <t>Niet gehaald</t>
        </is>
      </c>
      <c r="I13" s="53" t="n"/>
    </row>
  </sheetData>
  <conditionalFormatting sqref="H2:H13">
    <cfRule type="cellIs" priority="1" operator="equal" dxfId="0">
      <formula>"Gehaald"</formula>
    </cfRule>
  </conditionalFormatting>
  <dataValidations count="1">
    <dataValidation sqref="H2:H13" showDropDown="0" showInputMessage="0" showErrorMessage="0" allowBlank="1" type="list">
      <formula1>"Niet gehaald,In test,Gehaald"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2026-08-07T22:35:36Z</dcterms:created>
  <dcterms:modified xsi:type="dcterms:W3CDTF">2026-08-07T22:35:36Z</dcterms:modified>
</cp:coreProperties>
</file>